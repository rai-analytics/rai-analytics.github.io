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8th Semester\Morning\Research Project\Data analysis\"/>
    </mc:Choice>
  </mc:AlternateContent>
  <xr:revisionPtr revIDLastSave="0" documentId="13_ncr:1_{80BBC3B0-D565-4A29-9522-792EB6A35589}" xr6:coauthVersionLast="47" xr6:coauthVersionMax="47" xr10:uidLastSave="{00000000-0000-0000-0000-000000000000}"/>
  <bookViews>
    <workbookView xWindow="-120" yWindow="-120" windowWidth="20730" windowHeight="11040" xr2:uid="{06588451-E77A-4B51-8DAC-D138C14D0161}"/>
  </bookViews>
  <sheets>
    <sheet name="SpSS" sheetId="1" r:id="rId1"/>
    <sheet name="Year_by" sheetId="3" r:id="rId2"/>
    <sheet name="Pivot_for_Averages" sheetId="4" r:id="rId3"/>
    <sheet name="Visual" sheetId="5" r:id="rId4"/>
  </sheets>
  <definedNames>
    <definedName name="_xlnm._FilterDatabase" localSheetId="1" hidden="1">Year_by!$A$1:$J$91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B11" i="4"/>
</calcChain>
</file>

<file path=xl/sharedStrings.xml><?xml version="1.0" encoding="utf-8"?>
<sst xmlns="http://schemas.openxmlformats.org/spreadsheetml/2006/main" count="214" uniqueCount="34">
  <si>
    <t>firm_name</t>
  </si>
  <si>
    <t>year</t>
  </si>
  <si>
    <t>revenue</t>
  </si>
  <si>
    <t>cogs</t>
  </si>
  <si>
    <t>advertising</t>
  </si>
  <si>
    <t>ebit</t>
  </si>
  <si>
    <t>finance_costs</t>
  </si>
  <si>
    <t>gpm</t>
  </si>
  <si>
    <t>cogs_ratio</t>
  </si>
  <si>
    <t>as_ratio</t>
  </si>
  <si>
    <t>icr</t>
  </si>
  <si>
    <t>cpi</t>
  </si>
  <si>
    <t>sbp_rate</t>
  </si>
  <si>
    <t>mitchells_fruit_farms_limited</t>
  </si>
  <si>
    <t>colgate_palmolive_pakistan_ltd</t>
  </si>
  <si>
    <t>frieslandcampina_engro_pakistan_limited</t>
  </si>
  <si>
    <t>nestle_pakistan_limited</t>
  </si>
  <si>
    <t>national_foods_limited</t>
  </si>
  <si>
    <t>shezan_international_limited</t>
  </si>
  <si>
    <t>unilever_pakistan_foods_limited</t>
  </si>
  <si>
    <t>fauji_foods_limited</t>
  </si>
  <si>
    <t>ismail_industries_limited</t>
  </si>
  <si>
    <t>shield_corporation_limited</t>
  </si>
  <si>
    <t>unity_foods_limited</t>
  </si>
  <si>
    <t>zil_limited</t>
  </si>
  <si>
    <t>gilet_limited</t>
  </si>
  <si>
    <t>bunny_limited</t>
  </si>
  <si>
    <t>attahur_limited</t>
  </si>
  <si>
    <t>Row Labels</t>
  </si>
  <si>
    <t>Grand Total</t>
  </si>
  <si>
    <t>Average of cpi</t>
  </si>
  <si>
    <t>Average of cogs_ratio</t>
  </si>
  <si>
    <t>Average of as_ratio</t>
  </si>
  <si>
    <t>Average of sbp_rate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</si>
</sst>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/>
              <a:t>Figure 4.1: Trend Analysis of Inflation (CPI) vs. Advertising-to-Sales Ratio (2019-2024)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Visual!$D$1</c:f>
              <c:strCache>
                <c:ptCount val="1"/>
                <c:pt idx="0">
                  <c:v>Average of cpi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Visual!$A$2:$A$7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Visual!$D$2:$D$7</c:f>
              <c:numCache>
                <c:formatCode>General</c:formatCode>
                <c:ptCount val="6"/>
                <c:pt idx="0">
                  <c:v>10.578361800455479</c:v>
                </c:pt>
                <c:pt idx="1">
                  <c:v>9.7399931389815446</c:v>
                </c:pt>
                <c:pt idx="2">
                  <c:v>9.4962105612494678</c:v>
                </c:pt>
                <c:pt idx="3">
                  <c:v>19.873859964665545</c:v>
                </c:pt>
                <c:pt idx="4">
                  <c:v>30.76812806570052</c:v>
                </c:pt>
                <c:pt idx="5">
                  <c:v>12.63253185304518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B-40FB-904D-01F3DD5E8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6647935"/>
        <c:axId val="1266648415"/>
      </c:barChart>
      <c:lineChart>
        <c:grouping val="standard"/>
        <c:varyColors val="0"/>
        <c:ser>
          <c:idx val="0"/>
          <c:order val="0"/>
          <c:tx>
            <c:strRef>
              <c:f>Visual!$C$1</c:f>
              <c:strCache>
                <c:ptCount val="1"/>
                <c:pt idx="0">
                  <c:v>Average of as_ratio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Visual!$A$2:$A$7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Visual!$C$2:$C$7</c:f>
              <c:numCache>
                <c:formatCode>General</c:formatCode>
                <c:ptCount val="6"/>
                <c:pt idx="0">
                  <c:v>4.6126666666666663E-2</c:v>
                </c:pt>
                <c:pt idx="1">
                  <c:v>3.239333333333333E-2</c:v>
                </c:pt>
                <c:pt idx="2">
                  <c:v>3.0413333333333337E-2</c:v>
                </c:pt>
                <c:pt idx="3">
                  <c:v>6.4319999999999988E-2</c:v>
                </c:pt>
                <c:pt idx="4">
                  <c:v>2.6986666666666662E-2</c:v>
                </c:pt>
                <c:pt idx="5">
                  <c:v>2.5833333333333333E-2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B-40FB-904D-01F3DD5E8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654655"/>
        <c:axId val="1266637855"/>
      </c:lineChart>
      <c:catAx>
        <c:axId val="126664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648415"/>
        <c:crosses val="autoZero"/>
        <c:auto val="1"/>
        <c:lblAlgn val="ctr"/>
        <c:lblOffset val="100"/>
        <c:noMultiLvlLbl val="0"/>
      </c:catAx>
      <c:valAx>
        <c:axId val="12666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Inflation Rate (CPI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647935"/>
        <c:crosses val="autoZero"/>
        <c:crossBetween val="between"/>
      </c:valAx>
      <c:valAx>
        <c:axId val="12666378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Advertising-to-Sales (A/S) Ratio</a:t>
                </a:r>
              </a:p>
            </c:rich>
          </c:tx>
          <c:layout>
            <c:manualLayout>
              <c:xMode val="edge"/>
              <c:yMode val="edge"/>
              <c:x val="0.93554155730533683"/>
              <c:y val="0.18916666666666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654655"/>
        <c:crosses val="max"/>
        <c:crossBetween val="between"/>
      </c:valAx>
      <c:catAx>
        <c:axId val="1266654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6637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/>
              <a:t>Figure 4.2: Trend Analysis of Production Costs (COGS Ratio) vs. Advertising-to-Sales Ratio (2019-2024)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Visual!$B$1</c:f>
              <c:strCache>
                <c:ptCount val="1"/>
                <c:pt idx="0">
                  <c:v>Average of cogs_ratio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Visual!$A$2:$A$7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Visual!$B$2:$B$7</c:f>
              <c:numCache>
                <c:formatCode>General</c:formatCode>
                <c:ptCount val="6"/>
                <c:pt idx="0">
                  <c:v>0.73759333333333321</c:v>
                </c:pt>
                <c:pt idx="1">
                  <c:v>0.75712666666666661</c:v>
                </c:pt>
                <c:pt idx="2">
                  <c:v>0.74527933333333318</c:v>
                </c:pt>
                <c:pt idx="3">
                  <c:v>0.7610933333333334</c:v>
                </c:pt>
                <c:pt idx="4">
                  <c:v>0.70979999999999988</c:v>
                </c:pt>
                <c:pt idx="5">
                  <c:v>0.74006666666666687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0-44A2-875D-A527ED30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811151"/>
        <c:axId val="1055803471"/>
      </c:barChart>
      <c:lineChart>
        <c:grouping val="standard"/>
        <c:varyColors val="0"/>
        <c:ser>
          <c:idx val="1"/>
          <c:order val="1"/>
          <c:tx>
            <c:strRef>
              <c:f>Visual!$C$1</c:f>
              <c:strCache>
                <c:ptCount val="1"/>
                <c:pt idx="0">
                  <c:v>Average of as_ratio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Visual!$C$2:$C$7</c:f>
              <c:numCache>
                <c:formatCode>General</c:formatCode>
                <c:ptCount val="6"/>
                <c:pt idx="0">
                  <c:v>4.6126666666666663E-2</c:v>
                </c:pt>
                <c:pt idx="1">
                  <c:v>3.239333333333333E-2</c:v>
                </c:pt>
                <c:pt idx="2">
                  <c:v>3.0413333333333337E-2</c:v>
                </c:pt>
                <c:pt idx="3">
                  <c:v>6.4319999999999988E-2</c:v>
                </c:pt>
                <c:pt idx="4">
                  <c:v>2.6986666666666662E-2</c:v>
                </c:pt>
                <c:pt idx="5">
                  <c:v>2.5833333333333333E-2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0-44A2-875D-A527ED30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665215"/>
        <c:axId val="1266664255"/>
      </c:lineChart>
      <c:catAx>
        <c:axId val="105581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5803471"/>
        <c:crosses val="autoZero"/>
        <c:auto val="1"/>
        <c:lblAlgn val="ctr"/>
        <c:lblOffset val="100"/>
        <c:noMultiLvlLbl val="0"/>
      </c:catAx>
      <c:valAx>
        <c:axId val="105580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Cost of Goods Sold (COGS) Ratio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31245786217665E-2"/>
              <c:y val="0.170648148148148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5811151"/>
        <c:crosses val="autoZero"/>
        <c:crossBetween val="between"/>
      </c:valAx>
      <c:valAx>
        <c:axId val="12666642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Advertising-to-Sales (A/S)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665215"/>
        <c:crosses val="max"/>
        <c:crossBetween val="between"/>
      </c:valAx>
      <c:catAx>
        <c:axId val="1266665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6664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222436</xdr:colOff>
      <xdr:row>8</xdr:row>
      <xdr:rowOff>179294</xdr:rowOff>
    </xdr:from>
    <xdr:to>
      <xdr:col>4</xdr:col>
      <xdr:colOff>522753</xdr:colOff>
      <xdr:row>23</xdr:row>
      <xdr:rowOff>64994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5CAF6-B4FC-EC3A-614C-BC53B8758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530598</xdr:colOff>
      <xdr:row>3</xdr:row>
      <xdr:rowOff>23252</xdr:rowOff>
    </xdr:from>
    <xdr:to>
      <xdr:col>13</xdr:col>
      <xdr:colOff>243167</xdr:colOff>
      <xdr:row>17</xdr:row>
      <xdr:rowOff>99452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E08678-DEEC-F6FA-E689-B2FDE99EE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 Khayyam Haider" refreshedDate="46129.43274837963" createdVersion="8" refreshedVersion="8" minRefreshableVersion="3" recordCount="90" xr:uid="{D3A0A32D-6445-4F54-A608-61EF89798E7A}">
  <cacheSource type="worksheet">
    <worksheetSource ref="A1:J91" sheet="Year_by"/>
  </cacheSource>
  <cacheFields count="13">
    <cacheField name="firm_name" numFmtId="0">
      <sharedItems/>
    </cacheField>
    <cacheField name="year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revenue" numFmtId="0">
      <sharedItems containsSemiMixedTypes="0" containsString="0" containsNumber="1" containsInteger="1" minValue="1502010000" maxValue="200605005000"/>
    </cacheField>
    <cacheField name="cogs" numFmtId="0">
      <sharedItems containsSemiMixedTypes="0" containsString="0" containsNumber="1" containsInteger="1" minValue="722395311" maxValue="129845135000"/>
    </cacheField>
    <cacheField name="advertising" numFmtId="0">
      <sharedItems containsSemiMixedTypes="0" containsString="0" containsNumber="1" containsInteger="1" minValue="1902336" maxValue="9866771000"/>
    </cacheField>
    <cacheField name="ebit" numFmtId="0">
      <sharedItems containsSemiMixedTypes="0" containsString="0" containsNumber="1" containsInteger="1" minValue="-2434379066" maxValue="34553298000"/>
    </cacheField>
    <cacheField name="finance_costs" numFmtId="0">
      <sharedItems containsSemiMixedTypes="0" containsString="0" containsNumber="1" containsInteger="1" minValue="3101000" maxValue="8038003682"/>
    </cacheField>
    <cacheField name="gpm" numFmtId="0">
      <sharedItems containsSemiMixedTypes="0" containsString="0" containsNumber="1" minValue="-0.1182" maxValue="0.60070000000000001"/>
    </cacheField>
    <cacheField name="cogs_ratio" numFmtId="0">
      <sharedItems containsSemiMixedTypes="0" containsString="0" containsNumber="1" minValue="0.39929999999999999" maxValue="1.1182000000000001" count="90">
        <n v="0.78139999999999998"/>
        <n v="0.54379999999999995"/>
        <n v="0.86699999999999999"/>
        <n v="0.71240000000000003"/>
        <n v="0.67959999999999998"/>
        <n v="0.80120000000000002"/>
        <n v="0.59140000000000004"/>
        <n v="1.1182000000000001"/>
        <n v="0.79"/>
        <n v="0.68700000000000006"/>
        <n v="0.90939999999999999"/>
        <n v="0.70530000000000004"/>
        <n v="0.66779999999999995"/>
        <n v="0.73199999999999998"/>
        <n v="0.47739999999999999"/>
        <n v="0.79059999999999997"/>
        <n v="0.71009999999999995"/>
        <n v="0.86509999999999998"/>
        <n v="0.70740000000000003"/>
        <n v="0.68279999999999996"/>
        <n v="0.84970000000000001"/>
        <n v="0.57110000000000005"/>
        <n v="0.99160000000000004"/>
        <n v="0.79559999999999997"/>
        <n v="0.75649999999999995"/>
        <n v="0.93189999999999995"/>
        <n v="0.75460000000000005"/>
        <n v="0.66620000000000001"/>
        <n v="0.72540000000000004"/>
        <n v="0.55830000000000002"/>
        <n v="0.77859999999999996"/>
        <n v="0.52859999999999996"/>
        <n v="0.83040000000000003"/>
        <n v="0.69618999999999998"/>
        <n v="0.71799999999999997"/>
        <n v="0.78769999999999996"/>
        <n v="0.55020000000000002"/>
        <n v="0.89270000000000005"/>
        <n v="0.80889999999999995"/>
        <n v="0.69099999999999995"/>
        <n v="0.90339999999999998"/>
        <n v="0.89549999999999996"/>
        <n v="0.79759999999999998"/>
        <n v="0.73599999999999999"/>
        <n v="0.56440000000000001"/>
        <n v="0.92210000000000003"/>
        <n v="0.74270000000000003"/>
        <n v="0.83520000000000005"/>
        <n v="0.69469999999999998"/>
        <n v="0.71"/>
        <n v="0.78300000000000003"/>
        <n v="0.57799999999999996"/>
        <n v="0.9214"/>
        <n v="0.82179999999999997"/>
        <n v="0.75990000000000002"/>
        <n v="0.90610000000000002"/>
        <n v="0.81599999999999995"/>
        <n v="0.74780000000000002"/>
        <n v="0.77839999999999998"/>
        <n v="0.39929999999999999"/>
        <n v="0.76280000000000003"/>
        <n v="0.71460000000000001"/>
        <n v="0.85629999999999995"/>
        <n v="0.64729999999999999"/>
        <n v="0.71709999999999996"/>
        <n v="0.7621"/>
        <n v="0.57179999999999997"/>
        <n v="0.84940000000000004"/>
        <n v="0.79290000000000005"/>
        <n v="0.74"/>
        <n v="0.86309999999999998"/>
        <n v="0.71640000000000004"/>
        <n v="0.4743"/>
        <n v="0.76090000000000002"/>
        <n v="0.41799999999999998"/>
        <n v="0.70130000000000003"/>
        <n v="0.67420000000000002"/>
        <n v="0.84089999999999998"/>
        <n v="0.63980000000000004"/>
        <n v="0.72709999999999997"/>
        <n v="0.80249999999999999"/>
        <n v="0.61499999999999999"/>
        <n v="0.84099999999999997"/>
        <n v="0.79210000000000003"/>
        <n v="0.77480000000000004"/>
        <n v="0.91269999999999996"/>
        <n v="0.72319999999999995"/>
        <n v="0.67130000000000001"/>
        <n v="0.79690000000000005"/>
        <n v="0.58819999999999995"/>
      </sharedItems>
    </cacheField>
    <cacheField name="as_ratio" numFmtId="0">
      <sharedItems containsSemiMixedTypes="0" containsString="0" containsNumber="1" minValue="6.9999999999999999E-4" maxValue="0.49390000000000001" count="84">
        <n v="1.3100000000000001E-2"/>
        <n v="4.8500000000000001E-2"/>
        <n v="2.81E-2"/>
        <n v="4.36E-2"/>
        <n v="5.3999999999999999E-2"/>
        <n v="1.21E-2"/>
        <n v="6.5699999999999995E-2"/>
        <n v="0.13589999999999999"/>
        <n v="3.3000000000000002E-2"/>
        <n v="6.5600000000000006E-2"/>
        <n v="4.4000000000000003E-3"/>
        <n v="6.1800000000000001E-2"/>
        <n v="0.111"/>
        <n v="6.0000000000000001E-3"/>
        <n v="9.1000000000000004E-3"/>
        <n v="6.1999999999999998E-3"/>
        <n v="5.2299999999999999E-2"/>
        <n v="2.69E-2"/>
        <n v="4.2599999999999999E-2"/>
        <n v="5.8400000000000001E-2"/>
        <n v="2.8999999999999998E-3"/>
        <n v="5.0999999999999997E-2"/>
        <n v="6.3100000000000003E-2"/>
        <n v="4.1500000000000002E-2"/>
        <n v="3.3599999999999998E-2"/>
        <n v="1.6999999999999999E-3"/>
        <n v="2.63E-2"/>
        <n v="5.4999999999999997E-3"/>
        <n v="8.2000000000000007E-3"/>
        <n v="1.09E-2"/>
        <n v="4.1799999999999997E-2"/>
        <n v="3.1399999999999997E-2"/>
        <n v="3.7900000000000003E-2"/>
        <n v="4.2200000000000001E-2"/>
        <n v="2.7000000000000001E-3"/>
        <n v="6.6799999999999998E-2"/>
        <n v="6.4399999999999999E-2"/>
        <n v="4.8999999999999998E-3"/>
        <n v="0.03"/>
        <n v="4.1000000000000003E-3"/>
        <n v="2.5000000000000001E-2"/>
        <n v="7.6899999999999996E-2"/>
        <n v="1.0699999999999999E-2"/>
        <n v="6.4999999999999997E-3"/>
        <n v="7.2099999999999997E-2"/>
        <n v="2.7799999999999998E-2"/>
        <n v="3.5900000000000001E-2"/>
        <n v="4.5900000000000003E-2"/>
        <n v="3.8999999999999998E-3"/>
        <n v="5.2200000000000003E-2"/>
        <n v="6.2199999999999998E-2"/>
        <n v="1.15E-2"/>
        <n v="0.49390000000000001"/>
        <n v="2E-3"/>
        <n v="5.0000000000000001E-3"/>
        <n v="9.7799999999999998E-2"/>
        <n v="1.23E-2"/>
        <n v="3.5999999999999997E-2"/>
        <n v="2.52E-2"/>
        <n v="4.2799999999999998E-2"/>
        <n v="3.5299999999999998E-2"/>
        <n v="2.5000000000000001E-3"/>
        <n v="5.5399999999999998E-2"/>
        <n v="2.8899999999999999E-2"/>
        <n v="9.9000000000000008E-3"/>
        <n v="2.2599999999999999E-2"/>
        <n v="2.5600000000000001E-2"/>
        <n v="9.9099999999999994E-2"/>
        <n v="1.6000000000000001E-3"/>
        <n v="5.5999999999999999E-3"/>
        <n v="6.9999999999999999E-4"/>
        <n v="3.7199999999999997E-2"/>
        <n v="2.18E-2"/>
        <n v="5.11E-2"/>
        <n v="2.98E-2"/>
        <n v="1E-3"/>
        <n v="3.5700000000000003E-2"/>
        <n v="3.4700000000000002E-2"/>
        <n v="1.04E-2"/>
        <n v="5.1999999999999998E-2"/>
        <n v="3.0999999999999999E-3"/>
        <n v="4.24E-2"/>
        <n v="5.8200000000000002E-2"/>
        <n v="8.3999999999999995E-3"/>
      </sharedItems>
    </cacheField>
    <cacheField name="icr" numFmtId="0">
      <sharedItems containsSemiMixedTypes="0" containsString="0" containsNumber="1" minValue="-16.148800000000001" maxValue="290.13"/>
    </cacheField>
    <cacheField name="cpi" numFmtId="0">
      <sharedItems containsSemiMixedTypes="0" containsString="0" containsNumber="1" minValue="9.4962105612494696" maxValue="30.76812806570052" count="6">
        <n v="10.578361800455481"/>
        <n v="9.7399931389815464"/>
        <n v="9.4962105612494696"/>
        <n v="19.873859964665549"/>
        <n v="30.76812806570052"/>
        <n v="12.63253185304518"/>
      </sharedItems>
    </cacheField>
    <cacheField name="sbp_rate" numFmtId="0">
      <sharedItems containsSemiMixedTypes="0" containsString="0" containsNumber="1" minValue="7.2808219178082192" maxValue="20.613698630136991" count="6">
        <n v="11.990410958904111"/>
        <n v="8.9364754098360653"/>
        <n v="7.2808219178082192"/>
        <n v="11.991095890410961"/>
        <n v="20.613698630136991"/>
        <n v="18.9617486338797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mitchells_fruit_farms_limited"/>
    <x v="0"/>
    <n v="1987552095"/>
    <n v="1553138999"/>
    <n v="25943230"/>
    <n v="26777465"/>
    <n v="78300349"/>
    <n v="0.21859999999999999"/>
    <x v="0"/>
    <x v="0"/>
    <n v="0.34200000000000003"/>
    <x v="0"/>
    <x v="0"/>
  </r>
  <r>
    <s v="colgate_palmolive_pakistan_ltd"/>
    <x v="0"/>
    <n v="48718781000"/>
    <n v="26490454000"/>
    <n v="2365195000"/>
    <n v="5002686000"/>
    <n v="38496000"/>
    <n v="0.45629999999999998"/>
    <x v="1"/>
    <x v="1"/>
    <n v="129.965"/>
    <x v="0"/>
    <x v="0"/>
  </r>
  <r>
    <s v="frieslandcampina_engro_pakistan_limited"/>
    <x v="0"/>
    <n v="38857336000"/>
    <n v="33687049000"/>
    <n v="1091329000"/>
    <n v="121219000"/>
    <n v="1221574000"/>
    <n v="0.1331"/>
    <x v="2"/>
    <x v="2"/>
    <n v="9.9199999999999997E-2"/>
    <x v="0"/>
    <x v="0"/>
  </r>
  <r>
    <s v="nestle_pakistan_limited"/>
    <x v="0"/>
    <n v="115962473000"/>
    <n v="82613501000"/>
    <n v="5058655000"/>
    <n v="15024753000"/>
    <n v="3187695000"/>
    <n v="0.28760000000000002"/>
    <x v="3"/>
    <x v="3"/>
    <n v="4.7130999999999998"/>
    <x v="0"/>
    <x v="0"/>
  </r>
  <r>
    <s v="national_foods_limited"/>
    <x v="0"/>
    <n v="16602206000"/>
    <n v="11283038000"/>
    <n v="896967000"/>
    <n v="1519678000"/>
    <n v="157070000"/>
    <n v="0.32040000000000002"/>
    <x v="4"/>
    <x v="4"/>
    <n v="9.6751000000000005"/>
    <x v="0"/>
    <x v="0"/>
  </r>
  <r>
    <s v="shezan_international_limited"/>
    <x v="0"/>
    <n v="7704097000"/>
    <n v="6172758000"/>
    <n v="93535000"/>
    <n v="220129000"/>
    <n v="68195000"/>
    <n v="0.1988"/>
    <x v="5"/>
    <x v="5"/>
    <n v="3.2280000000000002"/>
    <x v="0"/>
    <x v="0"/>
  </r>
  <r>
    <s v="unilever_pakistan_foods_limited"/>
    <x v="0"/>
    <n v="13291424000"/>
    <n v="7861105000"/>
    <n v="873163000"/>
    <n v="2942876000"/>
    <n v="135076000"/>
    <n v="0.40860000000000002"/>
    <x v="6"/>
    <x v="6"/>
    <n v="21.786999999999999"/>
    <x v="0"/>
    <x v="0"/>
  </r>
  <r>
    <s v="fauji_foods_limited"/>
    <x v="0"/>
    <n v="5744872328"/>
    <n v="6423699048"/>
    <n v="780492580"/>
    <n v="-2434379066"/>
    <n v="1698166696"/>
    <n v="-0.1182"/>
    <x v="7"/>
    <x v="7"/>
    <n v="-1.4335"/>
    <x v="0"/>
    <x v="0"/>
  </r>
  <r>
    <s v="ismail_industries_limited"/>
    <x v="0"/>
    <n v="30090888452"/>
    <n v="23736870313"/>
    <n v="993764195"/>
    <n v="2223446084"/>
    <n v="905629820"/>
    <n v="0.21110000000000001"/>
    <x v="8"/>
    <x v="8"/>
    <n v="2.4550000000000001"/>
    <x v="0"/>
    <x v="0"/>
  </r>
  <r>
    <s v="shield_corporation_limited"/>
    <x v="0"/>
    <n v="1778794872"/>
    <n v="1222057829"/>
    <n v="116755409"/>
    <n v="127213440"/>
    <n v="41594682"/>
    <n v="0.31309999999999999"/>
    <x v="9"/>
    <x v="9"/>
    <n v="3.0579999999999998"/>
    <x v="0"/>
    <x v="0"/>
  </r>
  <r>
    <s v="unity_foods_limited"/>
    <x v="0"/>
    <n v="14097237284"/>
    <n v="12820034063"/>
    <n v="61393549"/>
    <n v="562929180"/>
    <n v="288207562"/>
    <n v="9.06E-2"/>
    <x v="10"/>
    <x v="10"/>
    <n v="1.9531000000000001"/>
    <x v="0"/>
    <x v="0"/>
  </r>
  <r>
    <s v="zil_limited"/>
    <x v="0"/>
    <n v="2419329000"/>
    <n v="1706308000"/>
    <n v="149391000"/>
    <n v="151529000"/>
    <n v="25918000"/>
    <n v="0.29470000000000002"/>
    <x v="11"/>
    <x v="11"/>
    <n v="5.8470000000000004"/>
    <x v="0"/>
    <x v="0"/>
  </r>
  <r>
    <s v="gilet_limited"/>
    <x v="0"/>
    <n v="1962721000"/>
    <n v="1310766000"/>
    <n v="217889000"/>
    <n v="235820000"/>
    <n v="7376000"/>
    <n v="0.3322"/>
    <x v="12"/>
    <x v="12"/>
    <n v="31.9726"/>
    <x v="0"/>
    <x v="0"/>
  </r>
  <r>
    <s v="bunny_limited"/>
    <x v="0"/>
    <n v="2568870049"/>
    <n v="1880389030"/>
    <n v="15350256"/>
    <n v="223092332"/>
    <n v="64819299"/>
    <n v="0.26790000000000003"/>
    <x v="13"/>
    <x v="13"/>
    <n v="3.4418000000000002"/>
    <x v="0"/>
    <x v="0"/>
  </r>
  <r>
    <s v="attahur_limited"/>
    <x v="0"/>
    <n v="1513288448"/>
    <n v="722395311"/>
    <n v="13766748"/>
    <n v="271676992"/>
    <n v="22464737"/>
    <n v="0.52259999999999995"/>
    <x v="14"/>
    <x v="14"/>
    <n v="12.093"/>
    <x v="0"/>
    <x v="0"/>
  </r>
  <r>
    <s v="mitchells_fruit_farms_limited"/>
    <x v="1"/>
    <n v="2112492576"/>
    <n v="1670069764"/>
    <n v="12995746"/>
    <n v="47016162"/>
    <n v="74272355"/>
    <n v="0.2094"/>
    <x v="15"/>
    <x v="15"/>
    <n v="0.63300000000000001"/>
    <x v="1"/>
    <x v="1"/>
  </r>
  <r>
    <s v="colgate_palmolive_pakistan_ltd"/>
    <x v="1"/>
    <n v="43530322000"/>
    <n v="30912914000"/>
    <n v="2278060000"/>
    <n v="6807580000"/>
    <n v="95813000"/>
    <n v="0.28989999999999999"/>
    <x v="16"/>
    <x v="16"/>
    <n v="71.049000000000007"/>
    <x v="1"/>
    <x v="1"/>
  </r>
  <r>
    <s v="frieslandcampina_engro_pakistan_limited"/>
    <x v="1"/>
    <n v="44155023000"/>
    <n v="38202175000"/>
    <n v="1186196000"/>
    <n v="1506520000"/>
    <n v="1238840000"/>
    <n v="0.1348"/>
    <x v="17"/>
    <x v="17"/>
    <n v="1.2161"/>
    <x v="1"/>
    <x v="1"/>
  </r>
  <r>
    <s v="nestle_pakistan_limited"/>
    <x v="1"/>
    <n v="118781274000"/>
    <n v="84016549000"/>
    <n v="5054207000"/>
    <n v="16060500000"/>
    <n v="2805015000"/>
    <n v="0.29270000000000002"/>
    <x v="18"/>
    <x v="18"/>
    <n v="5.726"/>
    <x v="1"/>
    <x v="1"/>
  </r>
  <r>
    <s v="national_foods_limited"/>
    <x v="1"/>
    <n v="19258717000"/>
    <n v="13150298000"/>
    <n v="1124242000"/>
    <n v="1752011000"/>
    <n v="163887000"/>
    <n v="0.31719999999999998"/>
    <x v="19"/>
    <x v="19"/>
    <n v="10.69"/>
    <x v="1"/>
    <x v="1"/>
  </r>
  <r>
    <s v="shezan_international_limited"/>
    <x v="1"/>
    <n v="7313042000"/>
    <n v="6213833000"/>
    <n v="21475000"/>
    <n v="-95684000"/>
    <n v="206986000"/>
    <n v="0.15029999999999999"/>
    <x v="20"/>
    <x v="20"/>
    <n v="-0.46229999999999999"/>
    <x v="1"/>
    <x v="1"/>
  </r>
  <r>
    <s v="unilever_pakistan_foods_limited"/>
    <x v="1"/>
    <n v="15572747000"/>
    <n v="8894178000"/>
    <n v="794460000"/>
    <n v="4077508000"/>
    <n v="22550000"/>
    <n v="0.4289"/>
    <x v="21"/>
    <x v="21"/>
    <n v="180.82079999999999"/>
    <x v="1"/>
    <x v="1"/>
  </r>
  <r>
    <s v="fauji_foods_limited"/>
    <x v="1"/>
    <n v="7373162067"/>
    <n v="7310900013"/>
    <n v="465283240"/>
    <n v="-1147313168"/>
    <n v="1752267407"/>
    <n v="8.3999999999999995E-3"/>
    <x v="22"/>
    <x v="22"/>
    <n v="-0.65480000000000005"/>
    <x v="1"/>
    <x v="1"/>
  </r>
  <r>
    <s v="ismail_industries_limited"/>
    <x v="1"/>
    <n v="33424762422"/>
    <n v="26592382801"/>
    <n v="1387963803"/>
    <n v="1360016823"/>
    <n v="1211530291"/>
    <n v="0.2044"/>
    <x v="23"/>
    <x v="23"/>
    <n v="1.1226"/>
    <x v="1"/>
    <x v="1"/>
  </r>
  <r>
    <s v="shield_corporation_limited"/>
    <x v="1"/>
    <n v="1708620654"/>
    <n v="1292601578"/>
    <n v="57409241"/>
    <n v="81532774"/>
    <n v="100882938"/>
    <n v="0.24349999999999999"/>
    <x v="24"/>
    <x v="24"/>
    <n v="0.80800000000000005"/>
    <x v="1"/>
    <x v="1"/>
  </r>
  <r>
    <s v="unity_foods_limited"/>
    <x v="1"/>
    <n v="29872020642"/>
    <n v="27842732989"/>
    <n v="50415746"/>
    <n v="739539011"/>
    <n v="544988721"/>
    <n v="6.7900000000000002E-2"/>
    <x v="25"/>
    <x v="25"/>
    <n v="1.3571"/>
    <x v="1"/>
    <x v="1"/>
  </r>
  <r>
    <s v="zil_limited"/>
    <x v="1"/>
    <n v="2443461000"/>
    <n v="1843796000"/>
    <n v="64176000"/>
    <n v="67515000"/>
    <n v="16575000"/>
    <n v="0.24540000000000001"/>
    <x v="26"/>
    <x v="26"/>
    <n v="4.0731999999999999"/>
    <x v="1"/>
    <x v="1"/>
  </r>
  <r>
    <s v="gilet_limited"/>
    <x v="1"/>
    <n v="1971294000"/>
    <n v="1313194000"/>
    <n v="129505000"/>
    <n v="351531000"/>
    <n v="5530000"/>
    <n v="0.33379999999999999"/>
    <x v="27"/>
    <x v="6"/>
    <n v="63.567999999999998"/>
    <x v="1"/>
    <x v="1"/>
  </r>
  <r>
    <s v="bunny_limited"/>
    <x v="1"/>
    <n v="2791857589"/>
    <n v="2025108694"/>
    <n v="15428432"/>
    <n v="278712470"/>
    <n v="93547781"/>
    <n v="0.27460000000000001"/>
    <x v="28"/>
    <x v="27"/>
    <n v="2.9794"/>
    <x v="1"/>
    <x v="1"/>
  </r>
  <r>
    <s v="attahur_limited"/>
    <x v="1"/>
    <n v="1811537025"/>
    <n v="1011403941"/>
    <n v="14829295"/>
    <n v="172255337"/>
    <n v="53651597"/>
    <n v="0.44169999999999998"/>
    <x v="29"/>
    <x v="28"/>
    <n v="3.2105000000000001"/>
    <x v="1"/>
    <x v="1"/>
  </r>
  <r>
    <s v="mitchells_fruit_farms_limited"/>
    <x v="2"/>
    <n v="2210620000"/>
    <n v="1721280000"/>
    <n v="24019000"/>
    <n v="67426000"/>
    <n v="25631000"/>
    <n v="0.22140000000000001"/>
    <x v="30"/>
    <x v="29"/>
    <n v="2.6305999999999998"/>
    <x v="2"/>
    <x v="2"/>
  </r>
  <r>
    <s v="colgate_palmolive_pakistan_ltd"/>
    <x v="2"/>
    <n v="67567680000"/>
    <n v="35715642000"/>
    <n v="2821256000"/>
    <n v="8080848000"/>
    <n v="118175000"/>
    <n v="0.47139999999999999"/>
    <x v="31"/>
    <x v="30"/>
    <n v="68.379000000000005"/>
    <x v="2"/>
    <x v="2"/>
  </r>
  <r>
    <s v="frieslandcampina_engro_pakistan_limited"/>
    <x v="2"/>
    <n v="52094197000"/>
    <n v="43256759000"/>
    <n v="1636401000"/>
    <n v="3441763000"/>
    <n v="861374000"/>
    <n v="0.16969999999999999"/>
    <x v="32"/>
    <x v="31"/>
    <n v="3.9956"/>
    <x v="2"/>
    <x v="2"/>
  </r>
  <r>
    <s v="nestle_pakistan_limited"/>
    <x v="2"/>
    <n v="133295472000"/>
    <n v="92803347000"/>
    <n v="5051395000"/>
    <n v="21577611000"/>
    <n v="1840228000"/>
    <n v="0.30403999999999998"/>
    <x v="33"/>
    <x v="32"/>
    <n v="11.7255"/>
    <x v="2"/>
    <x v="2"/>
  </r>
  <r>
    <s v="national_foods_limited"/>
    <x v="2"/>
    <n v="34588433000"/>
    <n v="24836018000"/>
    <n v="1457949000"/>
    <n v="2945756000"/>
    <n v="314768000"/>
    <n v="0.28199999999999997"/>
    <x v="34"/>
    <x v="33"/>
    <n v="9.3580000000000005"/>
    <x v="2"/>
    <x v="2"/>
  </r>
  <r>
    <s v="shezan_international_limited"/>
    <x v="2"/>
    <n v="6584452000"/>
    <n v="5186645000"/>
    <n v="17938000"/>
    <n v="345384000"/>
    <n v="124320000"/>
    <n v="0.21229999999999999"/>
    <x v="35"/>
    <x v="34"/>
    <n v="2.7782"/>
    <x v="2"/>
    <x v="2"/>
  </r>
  <r>
    <s v="unilever_pakistan_foods_limited"/>
    <x v="2"/>
    <n v="19820946000"/>
    <n v="10904750000"/>
    <n v="1323062000"/>
    <n v="5501987000"/>
    <n v="79151000"/>
    <n v="0.44990000000000002"/>
    <x v="36"/>
    <x v="35"/>
    <n v="69.510999999999996"/>
    <x v="2"/>
    <x v="2"/>
  </r>
  <r>
    <s v="fauji_foods_limited"/>
    <x v="2"/>
    <n v="8586396344"/>
    <n v="7665360235"/>
    <n v="553182762"/>
    <n v="-457147837"/>
    <n v="1155050524"/>
    <n v="0.10730000000000001"/>
    <x v="37"/>
    <x v="36"/>
    <n v="-0.39579999999999999"/>
    <x v="2"/>
    <x v="2"/>
  </r>
  <r>
    <s v="ismail_industries_limited"/>
    <x v="2"/>
    <n v="37524840569"/>
    <n v="30354451977"/>
    <n v="184747427"/>
    <n v="1966268754"/>
    <n v="726142880"/>
    <n v="0.19109999999999999"/>
    <x v="38"/>
    <x v="37"/>
    <n v="2.7078000000000002"/>
    <x v="2"/>
    <x v="2"/>
  </r>
  <r>
    <s v="shield_corporation_limited"/>
    <x v="2"/>
    <n v="2148550393"/>
    <n v="1484717849"/>
    <n v="64460957"/>
    <n v="280540681"/>
    <n v="52491216"/>
    <n v="0.309"/>
    <x v="39"/>
    <x v="38"/>
    <n v="5.3440000000000003"/>
    <x v="2"/>
    <x v="2"/>
  </r>
  <r>
    <s v="unity_foods_limited"/>
    <x v="2"/>
    <n v="68831301040"/>
    <n v="62180175227"/>
    <n v="279989565"/>
    <n v="4004000000"/>
    <n v="960978338"/>
    <n v="9.6600000000000005E-2"/>
    <x v="40"/>
    <x v="39"/>
    <n v="4.1660000000000004"/>
    <x v="2"/>
    <x v="2"/>
  </r>
  <r>
    <s v="zil_limited"/>
    <x v="2"/>
    <n v="2737550000"/>
    <n v="2451352000"/>
    <n v="68325000"/>
    <n v="-232089000"/>
    <n v="25556000"/>
    <n v="0.1045"/>
    <x v="41"/>
    <x v="40"/>
    <n v="-9.0810999999999993"/>
    <x v="2"/>
    <x v="2"/>
  </r>
  <r>
    <s v="gilet_limited"/>
    <x v="2"/>
    <n v="2162727000"/>
    <n v="1725063000"/>
    <n v="166547000"/>
    <n v="156367000"/>
    <n v="3101000"/>
    <n v="0.2024"/>
    <x v="42"/>
    <x v="41"/>
    <n v="50.424999999999997"/>
    <x v="2"/>
    <x v="2"/>
  </r>
  <r>
    <s v="bunny_limited"/>
    <x v="2"/>
    <n v="3570045254"/>
    <n v="2627641418"/>
    <n v="38246026"/>
    <n v="332893690"/>
    <n v="84042256"/>
    <n v="0.26400000000000001"/>
    <x v="43"/>
    <x v="42"/>
    <n v="3.9609999999999999"/>
    <x v="2"/>
    <x v="2"/>
  </r>
  <r>
    <s v="attahur_limited"/>
    <x v="2"/>
    <n v="2558360057"/>
    <n v="1443852444"/>
    <n v="16718583"/>
    <n v="421536054"/>
    <n v="58096897"/>
    <n v="0.43559999999999999"/>
    <x v="44"/>
    <x v="43"/>
    <n v="7.2552000000000003"/>
    <x v="2"/>
    <x v="2"/>
  </r>
  <r>
    <s v="mitchells_fruit_farms_limited"/>
    <x v="3"/>
    <n v="2489291011"/>
    <n v="2295470632"/>
    <n v="179515917"/>
    <n v="-597192213"/>
    <n v="36980631"/>
    <n v="7.7899999999999997E-2"/>
    <x v="45"/>
    <x v="44"/>
    <n v="-16.148800000000001"/>
    <x v="3"/>
    <x v="3"/>
  </r>
  <r>
    <s v="colgate_palmolive_pakistan_ltd"/>
    <x v="3"/>
    <n v="62330226000"/>
    <n v="46288481000"/>
    <n v="2632780000"/>
    <n v="8864832000"/>
    <n v="142810000"/>
    <n v="0.25740000000000002"/>
    <x v="46"/>
    <x v="33"/>
    <n v="62.073999999999998"/>
    <x v="3"/>
    <x v="3"/>
  </r>
  <r>
    <s v="frieslandcampina_engro_pakistan_limited"/>
    <x v="3"/>
    <n v="73473687000"/>
    <n v="61365299000"/>
    <n v="2042050000"/>
    <n v="5330781000"/>
    <n v="1379787000"/>
    <n v="0.1648"/>
    <x v="47"/>
    <x v="45"/>
    <n v="3.863"/>
    <x v="3"/>
    <x v="3"/>
  </r>
  <r>
    <s v="nestle_pakistan_limited"/>
    <x v="3"/>
    <n v="162516255000"/>
    <n v="112886474000"/>
    <n v="5829265000"/>
    <n v="26778978000"/>
    <n v="2335994000"/>
    <n v="0.3054"/>
    <x v="48"/>
    <x v="46"/>
    <n v="11.462999999999999"/>
    <x v="3"/>
    <x v="3"/>
  </r>
  <r>
    <s v="national_foods_limited"/>
    <x v="3"/>
    <n v="45525608000"/>
    <n v="32322189000"/>
    <n v="2088031000"/>
    <n v="3615001000"/>
    <n v="463810000"/>
    <n v="0.28989999999999999"/>
    <x v="49"/>
    <x v="47"/>
    <n v="7.7946999999999997"/>
    <x v="3"/>
    <x v="3"/>
  </r>
  <r>
    <s v="shezan_international_limited"/>
    <x v="3"/>
    <n v="8169271000"/>
    <n v="6395873000"/>
    <n v="31786000"/>
    <n v="186403000"/>
    <n v="119192000"/>
    <n v="0.21709999999999999"/>
    <x v="50"/>
    <x v="48"/>
    <n v="1.5640000000000001"/>
    <x v="3"/>
    <x v="3"/>
  </r>
  <r>
    <s v="unilever_pakistan_foods_limited"/>
    <x v="3"/>
    <n v="28309317000"/>
    <n v="16359841000"/>
    <n v="1477565000"/>
    <n v="8506272000"/>
    <n v="139905000"/>
    <n v="0.42209999999999998"/>
    <x v="51"/>
    <x v="49"/>
    <n v="60.8"/>
    <x v="3"/>
    <x v="3"/>
  </r>
  <r>
    <s v="fauji_foods_limited"/>
    <x v="3"/>
    <n v="12350702418"/>
    <n v="11380034184"/>
    <n v="768783394"/>
    <n v="-815763264"/>
    <n v="1259766520"/>
    <n v="7.8600000000000003E-2"/>
    <x v="52"/>
    <x v="50"/>
    <n v="-0.64749999999999996"/>
    <x v="3"/>
    <x v="3"/>
  </r>
  <r>
    <s v="ismail_industries_limited"/>
    <x v="3"/>
    <n v="55260699195"/>
    <n v="45415201624"/>
    <n v="637006776"/>
    <n v="4244301042"/>
    <n v="1413989787"/>
    <n v="0.1782"/>
    <x v="53"/>
    <x v="51"/>
    <n v="2.9946999999999999"/>
    <x v="3"/>
    <x v="3"/>
  </r>
  <r>
    <s v="shield_corporation_limited"/>
    <x v="3"/>
    <n v="2662054711"/>
    <n v="2023761461"/>
    <n v="1314795044"/>
    <n v="111728948"/>
    <n v="85037887"/>
    <n v="0.23980000000000001"/>
    <x v="54"/>
    <x v="52"/>
    <n v="1.3139000000000001"/>
    <x v="3"/>
    <x v="3"/>
  </r>
  <r>
    <s v="unity_foods_limited"/>
    <x v="3"/>
    <n v="87713010270"/>
    <n v="79475327120"/>
    <n v="171241207"/>
    <n v="3950071602"/>
    <n v="1800963174"/>
    <n v="9.3899999999999997E-2"/>
    <x v="55"/>
    <x v="53"/>
    <n v="2.1932999999999998"/>
    <x v="3"/>
    <x v="3"/>
  </r>
  <r>
    <s v="zil_limited"/>
    <x v="3"/>
    <n v="4061842000"/>
    <n v="3314497000"/>
    <n v="20477000"/>
    <n v="150700000"/>
    <n v="81027000"/>
    <n v="0.184"/>
    <x v="56"/>
    <x v="54"/>
    <n v="1.8599000000000001"/>
    <x v="3"/>
    <x v="3"/>
  </r>
  <r>
    <s v="gilet_limited"/>
    <x v="3"/>
    <n v="2453305000"/>
    <n v="1834462000"/>
    <n v="239971000"/>
    <n v="239331000"/>
    <n v="8251000"/>
    <n v="0.25219999999999998"/>
    <x v="57"/>
    <x v="55"/>
    <n v="29.0063"/>
    <x v="3"/>
    <x v="3"/>
  </r>
  <r>
    <s v="bunny_limited"/>
    <x v="3"/>
    <n v="4468902597"/>
    <n v="3478245931"/>
    <n v="27571815"/>
    <n v="275822900"/>
    <n v="111023710"/>
    <n v="0.22170000000000001"/>
    <x v="58"/>
    <x v="15"/>
    <n v="2.4843999999999999"/>
    <x v="3"/>
    <x v="3"/>
  </r>
  <r>
    <s v="attahur_limited"/>
    <x v="3"/>
    <n v="3285913000"/>
    <n v="1312003000"/>
    <n v="20516000"/>
    <n v="1026838000"/>
    <n v="114683000"/>
    <n v="0.60070000000000001"/>
    <x v="59"/>
    <x v="15"/>
    <n v="8.9535"/>
    <x v="3"/>
    <x v="3"/>
  </r>
  <r>
    <s v="mitchells_fruit_farms_limited"/>
    <x v="4"/>
    <n v="2724930890"/>
    <n v="2076814684"/>
    <n v="33416934"/>
    <n v="15439408"/>
    <n v="85083157"/>
    <n v="0.2379"/>
    <x v="60"/>
    <x v="56"/>
    <n v="0.18099999999999999"/>
    <x v="4"/>
    <x v="4"/>
  </r>
  <r>
    <s v="colgate_palmolive_pakistan_ltd"/>
    <x v="4"/>
    <n v="91459504000"/>
    <n v="65360062000"/>
    <n v="3291302000"/>
    <n v="16684618000"/>
    <n v="150682000"/>
    <n v="0.28539999999999999"/>
    <x v="61"/>
    <x v="57"/>
    <n v="110.72029999999999"/>
    <x v="4"/>
    <x v="4"/>
  </r>
  <r>
    <s v="frieslandcampina_engro_pakistan_limited"/>
    <x v="4"/>
    <n v="100235403000"/>
    <n v="85826661000"/>
    <n v="2523695000"/>
    <n v="6117375000"/>
    <n v="3126988000"/>
    <n v="0.14380000000000001"/>
    <x v="62"/>
    <x v="58"/>
    <n v="1.956"/>
    <x v="4"/>
    <x v="4"/>
  </r>
  <r>
    <s v="nestle_pakistan_limited"/>
    <x v="4"/>
    <n v="200605005000"/>
    <n v="129845135000"/>
    <n v="8578415000"/>
    <n v="34553298000"/>
    <n v="2623853000"/>
    <n v="0.35270000000000001"/>
    <x v="63"/>
    <x v="59"/>
    <n v="13.162000000000001"/>
    <x v="4"/>
    <x v="4"/>
  </r>
  <r>
    <s v="national_foods_limited"/>
    <x v="4"/>
    <n v="64322287000"/>
    <n v="46128408000"/>
    <n v="2270000000"/>
    <n v="6163690000"/>
    <n v="1158889000"/>
    <n v="0.2828"/>
    <x v="64"/>
    <x v="60"/>
    <n v="5.3185000000000002"/>
    <x v="4"/>
    <x v="4"/>
  </r>
  <r>
    <s v="shezan_international_limited"/>
    <x v="4"/>
    <n v="8745424000"/>
    <n v="6665173000"/>
    <n v="22251000"/>
    <n v="333318000"/>
    <n v="279654000"/>
    <n v="0.2379"/>
    <x v="65"/>
    <x v="61"/>
    <n v="1.1919999999999999"/>
    <x v="4"/>
    <x v="4"/>
  </r>
  <r>
    <s v="unilever_pakistan_foods_limited"/>
    <x v="4"/>
    <n v="34586732000"/>
    <n v="19777895000"/>
    <n v="1915818000"/>
    <n v="10472561000"/>
    <n v="119461000"/>
    <n v="0.42820000000000003"/>
    <x v="66"/>
    <x v="62"/>
    <n v="87.667000000000002"/>
    <x v="4"/>
    <x v="4"/>
  </r>
  <r>
    <s v="fauji_foods_limited"/>
    <x v="4"/>
    <n v="19809035759"/>
    <n v="16826717108"/>
    <n v="571515052"/>
    <n v="936507296"/>
    <n v="323792596"/>
    <n v="0.15060000000000001"/>
    <x v="67"/>
    <x v="63"/>
    <n v="2.8923999999999999"/>
    <x v="4"/>
    <x v="4"/>
  </r>
  <r>
    <s v="ismail_industries_limited"/>
    <x v="4"/>
    <n v="89643543663"/>
    <n v="71079444949"/>
    <n v="886769354"/>
    <n v="9813553853"/>
    <n v="4459624481"/>
    <n v="0.20710000000000001"/>
    <x v="68"/>
    <x v="64"/>
    <n v="2.2006999999999999"/>
    <x v="4"/>
    <x v="4"/>
  </r>
  <r>
    <s v="shield_corporation_limited"/>
    <x v="4"/>
    <n v="4357631431"/>
    <n v="3225280381"/>
    <n v="98360510"/>
    <n v="430961447"/>
    <n v="203126267"/>
    <n v="0.25979999999999998"/>
    <x v="69"/>
    <x v="65"/>
    <n v="2.1219999999999999"/>
    <x v="4"/>
    <x v="4"/>
  </r>
  <r>
    <s v="unity_foods_limited"/>
    <x v="4"/>
    <n v="100870351000"/>
    <n v="87059117000"/>
    <n v="197017000"/>
    <n v="3878986000"/>
    <n v="3564114000"/>
    <n v="0.13689999999999999"/>
    <x v="70"/>
    <x v="53"/>
    <n v="1.0880000000000001"/>
    <x v="4"/>
    <x v="4"/>
  </r>
  <r>
    <s v="zil_limited"/>
    <x v="4"/>
    <n v="5674322000"/>
    <n v="4064983000"/>
    <n v="145524000"/>
    <n v="485566000"/>
    <n v="138783000"/>
    <n v="0.28360000000000002"/>
    <x v="71"/>
    <x v="66"/>
    <n v="3.4990000000000001"/>
    <x v="4"/>
    <x v="4"/>
  </r>
  <r>
    <s v="gilet_limited"/>
    <x v="4"/>
    <n v="3024531000"/>
    <n v="1434536000"/>
    <n v="299678000"/>
    <n v="1138110000"/>
    <n v="153240000"/>
    <n v="0.52569999999999995"/>
    <x v="72"/>
    <x v="67"/>
    <n v="7.4269999999999996"/>
    <x v="4"/>
    <x v="4"/>
  </r>
  <r>
    <s v="bunny_limited"/>
    <x v="4"/>
    <n v="5686622639"/>
    <n v="4326891340"/>
    <n v="8981714"/>
    <n v="407742575"/>
    <n v="208252412"/>
    <n v="0.23910000000000001"/>
    <x v="73"/>
    <x v="68"/>
    <n v="1.958"/>
    <x v="4"/>
    <x v="4"/>
  </r>
  <r>
    <s v="attahur_limited"/>
    <x v="4"/>
    <n v="4899692000"/>
    <n v="2047933000"/>
    <n v="27441000"/>
    <n v="1450295000"/>
    <n v="225995000"/>
    <n v="0.58199999999999996"/>
    <x v="74"/>
    <x v="69"/>
    <n v="6.4169999999999998"/>
    <x v="4"/>
    <x v="4"/>
  </r>
  <r>
    <s v="mitchells_fruit_farms_limited"/>
    <x v="5"/>
    <n v="2642163811"/>
    <n v="1852996860"/>
    <n v="1902336"/>
    <n v="270527955"/>
    <n v="96186801"/>
    <n v="0.29859999999999998"/>
    <x v="75"/>
    <x v="70"/>
    <n v="2.8130000000000002"/>
    <x v="5"/>
    <x v="5"/>
  </r>
  <r>
    <s v="colgate_palmolive_pakistan_ltd"/>
    <x v="5"/>
    <n v="113230777000"/>
    <n v="76338286000"/>
    <n v="4209973000"/>
    <n v="27799569000"/>
    <n v="165476000"/>
    <n v="0.32579999999999998"/>
    <x v="76"/>
    <x v="71"/>
    <n v="168.09370000000001"/>
    <x v="5"/>
    <x v="5"/>
  </r>
  <r>
    <s v="frieslandcampina_engro_pakistan_limited"/>
    <x v="5"/>
    <n v="107051450000"/>
    <n v="90023807000"/>
    <n v="2338291000"/>
    <n v="6834741000"/>
    <n v="3259327000"/>
    <n v="0.15909999999999999"/>
    <x v="77"/>
    <x v="72"/>
    <n v="2.097"/>
    <x v="5"/>
    <x v="5"/>
  </r>
  <r>
    <s v="nestle_pakistan_limited"/>
    <x v="5"/>
    <n v="193205756000"/>
    <n v="123681762000"/>
    <n v="9866771000"/>
    <n v="29549225000"/>
    <n v="2589499000"/>
    <n v="0.35980000000000001"/>
    <x v="78"/>
    <x v="73"/>
    <n v="11.411"/>
    <x v="5"/>
    <x v="5"/>
  </r>
  <r>
    <s v="national_foods_limited"/>
    <x v="5"/>
    <n v="86375106000"/>
    <n v="62805113000"/>
    <n v="2569760000"/>
    <n v="6223148000"/>
    <n v="2597265000"/>
    <n v="0.27289999999999998"/>
    <x v="79"/>
    <x v="74"/>
    <n v="2.3967999999999998"/>
    <x v="5"/>
    <x v="5"/>
  </r>
  <r>
    <s v="shezan_international_limited"/>
    <x v="5"/>
    <n v="8154971000"/>
    <n v="6544543000"/>
    <n v="7970000"/>
    <n v="-73547000"/>
    <n v="332072000"/>
    <n v="0.19750000000000001"/>
    <x v="80"/>
    <x v="75"/>
    <n v="-0.2215"/>
    <x v="5"/>
    <x v="5"/>
  </r>
  <r>
    <s v="unilever_pakistan_foods_limited"/>
    <x v="5"/>
    <n v="33712049000"/>
    <n v="20732024000"/>
    <n v="1204328000"/>
    <n v="10177013000"/>
    <n v="35081000"/>
    <n v="0.38500000000000001"/>
    <x v="81"/>
    <x v="76"/>
    <n v="290.13"/>
    <x v="5"/>
    <x v="5"/>
  </r>
  <r>
    <s v="fauji_foods_limited"/>
    <x v="5"/>
    <n v="23401680285"/>
    <n v="19681000800"/>
    <n v="811106860"/>
    <n v="1055134508"/>
    <n v="34934929"/>
    <n v="0.159"/>
    <x v="82"/>
    <x v="77"/>
    <n v="30.198899999999998"/>
    <x v="5"/>
    <x v="5"/>
  </r>
  <r>
    <s v="ismail_industries_limited"/>
    <x v="5"/>
    <n v="116967540849"/>
    <n v="92647488472"/>
    <n v="1212221388"/>
    <n v="13420465937"/>
    <n v="8038003682"/>
    <n v="0.2079"/>
    <x v="83"/>
    <x v="78"/>
    <n v="1.671"/>
    <x v="5"/>
    <x v="5"/>
  </r>
  <r>
    <s v="shield_corporation_limited"/>
    <x v="5"/>
    <n v="3867121389"/>
    <n v="2996365848"/>
    <n v="201148390"/>
    <n v="-66911037"/>
    <n v="300970556"/>
    <n v="0.22520000000000001"/>
    <x v="84"/>
    <x v="79"/>
    <n v="-0.2223"/>
    <x v="5"/>
    <x v="5"/>
  </r>
  <r>
    <s v="unity_foods_limited"/>
    <x v="5"/>
    <n v="83002785000"/>
    <n v="75754488000"/>
    <n v="254460000"/>
    <n v="4805487000"/>
    <n v="7440127000"/>
    <n v="8.7300000000000003E-2"/>
    <x v="85"/>
    <x v="80"/>
    <n v="0.64600000000000002"/>
    <x v="5"/>
    <x v="5"/>
  </r>
  <r>
    <s v="zil_limited"/>
    <x v="5"/>
    <n v="6364851000"/>
    <n v="4603743000"/>
    <n v="270055000"/>
    <n v="211162000"/>
    <n v="118959000"/>
    <n v="0.2767"/>
    <x v="86"/>
    <x v="81"/>
    <n v="1.7749999999999999"/>
    <x v="5"/>
    <x v="5"/>
  </r>
  <r>
    <s v="gilet_limited"/>
    <x v="5"/>
    <n v="1502010000"/>
    <n v="1008371000"/>
    <n v="87350000"/>
    <n v="371462000"/>
    <n v="216299000"/>
    <n v="0.32869999999999999"/>
    <x v="87"/>
    <x v="82"/>
    <n v="1.7174"/>
    <x v="5"/>
    <x v="5"/>
  </r>
  <r>
    <s v="bunny_limited"/>
    <x v="5"/>
    <n v="7009267774"/>
    <n v="5585396742"/>
    <n v="7300400"/>
    <n v="249964513"/>
    <n v="271850142"/>
    <n v="0.2031"/>
    <x v="88"/>
    <x v="75"/>
    <n v="0.91949999999999998"/>
    <x v="5"/>
    <x v="5"/>
  </r>
  <r>
    <s v="attahur_limited"/>
    <x v="5"/>
    <n v="5845443000"/>
    <n v="3438553000"/>
    <n v="48964000"/>
    <n v="832359000"/>
    <n v="282540000"/>
    <n v="0.4118"/>
    <x v="89"/>
    <x v="83"/>
    <n v="2.9460000000000002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9F70F-0C06-472B-85DF-010AC0C3D9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3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91">
        <item x="59"/>
        <item x="74"/>
        <item x="72"/>
        <item x="14"/>
        <item x="31"/>
        <item x="1"/>
        <item x="36"/>
        <item x="29"/>
        <item x="44"/>
        <item x="21"/>
        <item x="66"/>
        <item x="51"/>
        <item x="89"/>
        <item x="6"/>
        <item x="81"/>
        <item x="78"/>
        <item x="63"/>
        <item x="27"/>
        <item x="12"/>
        <item x="87"/>
        <item x="76"/>
        <item x="4"/>
        <item x="19"/>
        <item x="9"/>
        <item x="39"/>
        <item x="48"/>
        <item x="33"/>
        <item x="75"/>
        <item x="11"/>
        <item x="18"/>
        <item x="49"/>
        <item x="16"/>
        <item x="3"/>
        <item x="61"/>
        <item x="71"/>
        <item x="64"/>
        <item x="34"/>
        <item x="86"/>
        <item x="28"/>
        <item x="79"/>
        <item x="13"/>
        <item x="43"/>
        <item x="69"/>
        <item x="46"/>
        <item x="57"/>
        <item x="26"/>
        <item x="24"/>
        <item x="54"/>
        <item x="73"/>
        <item x="65"/>
        <item x="60"/>
        <item x="84"/>
        <item x="58"/>
        <item x="30"/>
        <item x="0"/>
        <item x="50"/>
        <item x="35"/>
        <item x="8"/>
        <item x="15"/>
        <item x="83"/>
        <item x="68"/>
        <item x="23"/>
        <item x="88"/>
        <item x="42"/>
        <item x="5"/>
        <item x="80"/>
        <item x="38"/>
        <item x="56"/>
        <item x="53"/>
        <item x="32"/>
        <item x="47"/>
        <item x="77"/>
        <item x="82"/>
        <item x="67"/>
        <item x="20"/>
        <item x="62"/>
        <item x="70"/>
        <item x="17"/>
        <item x="2"/>
        <item x="37"/>
        <item x="41"/>
        <item x="40"/>
        <item x="55"/>
        <item x="10"/>
        <item x="85"/>
        <item x="52"/>
        <item x="45"/>
        <item x="25"/>
        <item x="22"/>
        <item x="7"/>
        <item t="default"/>
      </items>
    </pivotField>
    <pivotField dataField="1" showAll="0">
      <items count="85">
        <item x="70"/>
        <item x="75"/>
        <item x="68"/>
        <item x="25"/>
        <item x="53"/>
        <item x="61"/>
        <item x="34"/>
        <item x="20"/>
        <item x="80"/>
        <item x="48"/>
        <item x="39"/>
        <item x="10"/>
        <item x="37"/>
        <item x="54"/>
        <item x="27"/>
        <item x="69"/>
        <item x="13"/>
        <item x="15"/>
        <item x="43"/>
        <item x="28"/>
        <item x="83"/>
        <item x="14"/>
        <item x="64"/>
        <item x="78"/>
        <item x="42"/>
        <item x="29"/>
        <item x="51"/>
        <item x="5"/>
        <item x="56"/>
        <item x="0"/>
        <item x="72"/>
        <item x="65"/>
        <item x="40"/>
        <item x="58"/>
        <item x="66"/>
        <item x="26"/>
        <item x="17"/>
        <item x="45"/>
        <item x="2"/>
        <item x="63"/>
        <item x="74"/>
        <item x="38"/>
        <item x="31"/>
        <item x="8"/>
        <item x="24"/>
        <item x="77"/>
        <item x="60"/>
        <item x="76"/>
        <item x="46"/>
        <item x="57"/>
        <item x="71"/>
        <item x="32"/>
        <item x="23"/>
        <item x="30"/>
        <item x="33"/>
        <item x="81"/>
        <item x="18"/>
        <item x="59"/>
        <item x="3"/>
        <item x="47"/>
        <item x="1"/>
        <item x="21"/>
        <item x="73"/>
        <item x="79"/>
        <item x="49"/>
        <item x="16"/>
        <item x="4"/>
        <item x="62"/>
        <item x="82"/>
        <item x="19"/>
        <item x="11"/>
        <item x="50"/>
        <item x="22"/>
        <item x="36"/>
        <item x="9"/>
        <item x="6"/>
        <item x="35"/>
        <item x="44"/>
        <item x="41"/>
        <item x="55"/>
        <item x="67"/>
        <item x="12"/>
        <item x="7"/>
        <item x="52"/>
        <item t="default"/>
      </items>
    </pivotField>
    <pivotField showAll="0"/>
    <pivotField dataField="1" showAll="0">
      <items count="7">
        <item x="2"/>
        <item x="1"/>
        <item x="0"/>
        <item x="5"/>
        <item x="3"/>
        <item x="4"/>
        <item t="default"/>
      </items>
    </pivotField>
    <pivotField dataField="1" showAll="0">
      <items count="7">
        <item x="2"/>
        <item x="1"/>
        <item x="0"/>
        <item x="3"/>
        <item x="5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ogs_ratio" fld="8" subtotal="average" baseField="1" baseItem="2"/>
    <dataField name="Average of as_ratio" fld="9" subtotal="average" baseField="1" baseItem="2"/>
    <dataField name="Average of cpi" fld="11" subtotal="average" baseField="1" baseItem="2"/>
    <dataField name="Average of sbp_rate" fld="12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BABB-3F0E-403B-BE34-DED520FA6D26}">
  <dimension ref="A1:M91"/>
  <sheetViews>
    <sheetView tabSelected="1" workbookViewId="0">
      <selection activeCell="E85" sqref="E85"/>
    </sheetView>
  </sheetViews>
  <sheetFormatPr defaultRowHeight="15" x14ac:dyDescent="0.25"/>
  <cols>
    <col min="1" max="1" width="39.28515625" bestFit="1" customWidth="1"/>
    <col min="3" max="3" width="13.7109375" style="4" customWidth="1"/>
    <col min="4" max="4" width="14.85546875" style="4" bestFit="1" customWidth="1"/>
    <col min="5" max="5" width="10.85546875" style="4" bestFit="1" customWidth="1"/>
    <col min="6" max="6" width="12" style="4" bestFit="1" customWidth="1"/>
    <col min="7" max="7" width="13.140625" style="4" bestFit="1" customWidth="1"/>
    <col min="9" max="9" width="10" bestFit="1" customWidth="1"/>
  </cols>
  <sheetData>
    <row r="1" spans="1:13" s="8" customFormat="1" x14ac:dyDescent="0.25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3">
        <v>2019</v>
      </c>
      <c r="C2" s="2">
        <v>1987552095</v>
      </c>
      <c r="D2" s="2">
        <v>1553138999</v>
      </c>
      <c r="E2" s="2">
        <v>25943230</v>
      </c>
      <c r="F2" s="2">
        <v>26777465</v>
      </c>
      <c r="G2" s="2">
        <v>78300349</v>
      </c>
      <c r="H2" s="1">
        <v>0.21859999999999999</v>
      </c>
      <c r="I2" s="1">
        <v>0.78139999999999998</v>
      </c>
      <c r="J2" s="1">
        <v>1.3100000000000001E-2</v>
      </c>
      <c r="K2" s="1">
        <v>0.34200000000000003</v>
      </c>
      <c r="L2" s="1">
        <v>10.578361800455481</v>
      </c>
      <c r="M2" s="1">
        <v>11.990410958904111</v>
      </c>
    </row>
    <row r="3" spans="1:13" x14ac:dyDescent="0.25">
      <c r="A3" s="1" t="s">
        <v>13</v>
      </c>
      <c r="B3" s="3">
        <v>2020</v>
      </c>
      <c r="C3" s="2">
        <v>2112492576</v>
      </c>
      <c r="D3" s="2">
        <v>1670069764</v>
      </c>
      <c r="E3" s="2">
        <v>12995746</v>
      </c>
      <c r="F3" s="2">
        <v>47016162</v>
      </c>
      <c r="G3" s="2">
        <v>74272355</v>
      </c>
      <c r="H3" s="1">
        <v>0.2094</v>
      </c>
      <c r="I3" s="1">
        <v>0.79059999999999997</v>
      </c>
      <c r="J3" s="1">
        <v>6.1999999999999998E-3</v>
      </c>
      <c r="K3" s="1">
        <v>0.63300000000000001</v>
      </c>
      <c r="L3" s="1">
        <v>9.7399931389815464</v>
      </c>
      <c r="M3" s="1">
        <v>8.9364754098360653</v>
      </c>
    </row>
    <row r="4" spans="1:13" x14ac:dyDescent="0.25">
      <c r="A4" s="1" t="s">
        <v>13</v>
      </c>
      <c r="B4" s="3">
        <v>2021</v>
      </c>
      <c r="C4" s="2">
        <v>2210620000</v>
      </c>
      <c r="D4" s="2">
        <v>1721280000</v>
      </c>
      <c r="E4" s="2">
        <v>24019000</v>
      </c>
      <c r="F4" s="2">
        <v>67426000</v>
      </c>
      <c r="G4" s="2">
        <v>25631000</v>
      </c>
      <c r="H4" s="1">
        <v>0.22140000000000001</v>
      </c>
      <c r="I4" s="1">
        <v>0.77859999999999996</v>
      </c>
      <c r="J4" s="1">
        <v>1.09E-2</v>
      </c>
      <c r="K4" s="1">
        <v>2.6305999999999998</v>
      </c>
      <c r="L4" s="1">
        <v>9.4962105612494696</v>
      </c>
      <c r="M4" s="1">
        <v>7.2808219178082192</v>
      </c>
    </row>
    <row r="5" spans="1:13" x14ac:dyDescent="0.25">
      <c r="A5" s="1" t="s">
        <v>13</v>
      </c>
      <c r="B5" s="3">
        <v>2022</v>
      </c>
      <c r="C5" s="2">
        <v>2489291011</v>
      </c>
      <c r="D5" s="2">
        <v>2295470632</v>
      </c>
      <c r="E5" s="2">
        <v>179515917</v>
      </c>
      <c r="F5" s="2">
        <v>-597192213</v>
      </c>
      <c r="G5" s="2">
        <v>36980631</v>
      </c>
      <c r="H5" s="1">
        <v>7.7899999999999997E-2</v>
      </c>
      <c r="I5" s="1">
        <v>0.92210000000000003</v>
      </c>
      <c r="J5" s="1">
        <v>7.2099999999999997E-2</v>
      </c>
      <c r="K5" s="1">
        <v>-16.148800000000001</v>
      </c>
      <c r="L5" s="1">
        <v>19.873859964665549</v>
      </c>
      <c r="M5" s="1">
        <v>11.991095890410961</v>
      </c>
    </row>
    <row r="6" spans="1:13" x14ac:dyDescent="0.25">
      <c r="A6" s="1" t="s">
        <v>13</v>
      </c>
      <c r="B6" s="3">
        <v>2023</v>
      </c>
      <c r="C6" s="2">
        <v>2724930890</v>
      </c>
      <c r="D6" s="2">
        <v>2076814684</v>
      </c>
      <c r="E6" s="2">
        <v>33416934</v>
      </c>
      <c r="F6" s="2">
        <v>15439408</v>
      </c>
      <c r="G6" s="2">
        <v>85083157</v>
      </c>
      <c r="H6" s="1">
        <v>0.2379</v>
      </c>
      <c r="I6" s="1">
        <v>0.76280000000000003</v>
      </c>
      <c r="J6" s="1">
        <v>1.23E-2</v>
      </c>
      <c r="K6" s="1">
        <v>0.18099999999999999</v>
      </c>
      <c r="L6" s="1">
        <v>30.76812806570052</v>
      </c>
      <c r="M6" s="1">
        <v>20.613698630136991</v>
      </c>
    </row>
    <row r="7" spans="1:13" x14ac:dyDescent="0.25">
      <c r="A7" s="1" t="s">
        <v>13</v>
      </c>
      <c r="B7" s="3">
        <v>2024</v>
      </c>
      <c r="C7" s="2">
        <v>2642163811</v>
      </c>
      <c r="D7" s="2">
        <v>1852996860</v>
      </c>
      <c r="E7" s="2">
        <v>1902336</v>
      </c>
      <c r="F7" s="2">
        <v>270527955</v>
      </c>
      <c r="G7" s="2">
        <v>96186801</v>
      </c>
      <c r="H7" s="1">
        <v>0.29859999999999998</v>
      </c>
      <c r="I7" s="1">
        <v>0.70130000000000003</v>
      </c>
      <c r="J7" s="1">
        <v>6.9999999999999999E-4</v>
      </c>
      <c r="K7" s="1">
        <v>2.8130000000000002</v>
      </c>
      <c r="L7" s="1">
        <v>12.63253185304518</v>
      </c>
      <c r="M7" s="1">
        <v>18.961748633879779</v>
      </c>
    </row>
    <row r="8" spans="1:13" x14ac:dyDescent="0.25">
      <c r="A8" s="1" t="s">
        <v>14</v>
      </c>
      <c r="B8" s="3">
        <v>2019</v>
      </c>
      <c r="C8" s="2">
        <v>48718781000</v>
      </c>
      <c r="D8" s="2">
        <v>26490454000</v>
      </c>
      <c r="E8" s="2">
        <v>2365195000</v>
      </c>
      <c r="F8" s="2">
        <v>5002686000</v>
      </c>
      <c r="G8" s="2">
        <v>38496000</v>
      </c>
      <c r="H8" s="1">
        <v>0.45629999999999998</v>
      </c>
      <c r="I8" s="1">
        <v>0.54379999999999995</v>
      </c>
      <c r="J8" s="1">
        <v>4.8500000000000001E-2</v>
      </c>
      <c r="K8" s="1">
        <v>129.965</v>
      </c>
      <c r="L8" s="1">
        <v>10.578361800455481</v>
      </c>
      <c r="M8" s="1">
        <v>11.990410958904111</v>
      </c>
    </row>
    <row r="9" spans="1:13" x14ac:dyDescent="0.25">
      <c r="A9" s="1" t="s">
        <v>14</v>
      </c>
      <c r="B9" s="3">
        <v>2020</v>
      </c>
      <c r="C9" s="2">
        <v>43530322000</v>
      </c>
      <c r="D9" s="2">
        <v>30912914000</v>
      </c>
      <c r="E9" s="2">
        <v>2278060000</v>
      </c>
      <c r="F9" s="2">
        <v>6807580000</v>
      </c>
      <c r="G9" s="2">
        <v>95813000</v>
      </c>
      <c r="H9" s="1">
        <v>0.28989999999999999</v>
      </c>
      <c r="I9" s="1">
        <v>0.71009999999999995</v>
      </c>
      <c r="J9" s="1">
        <v>5.2299999999999999E-2</v>
      </c>
      <c r="K9" s="1">
        <v>71.049000000000007</v>
      </c>
      <c r="L9" s="1">
        <v>9.7399931389815464</v>
      </c>
      <c r="M9" s="1">
        <v>8.9364754098360653</v>
      </c>
    </row>
    <row r="10" spans="1:13" x14ac:dyDescent="0.25">
      <c r="A10" s="1" t="s">
        <v>14</v>
      </c>
      <c r="B10" s="3">
        <v>2021</v>
      </c>
      <c r="C10" s="2">
        <v>67567680000</v>
      </c>
      <c r="D10" s="2">
        <v>35715642000</v>
      </c>
      <c r="E10" s="2">
        <v>2821256000</v>
      </c>
      <c r="F10" s="2">
        <v>8080848000</v>
      </c>
      <c r="G10" s="2">
        <v>118175000</v>
      </c>
      <c r="H10" s="1">
        <v>0.47139999999999999</v>
      </c>
      <c r="I10" s="1">
        <v>0.52859999999999996</v>
      </c>
      <c r="J10" s="1">
        <v>4.1799999999999997E-2</v>
      </c>
      <c r="K10" s="1">
        <v>68.379000000000005</v>
      </c>
      <c r="L10" s="1">
        <v>9.4962105612494696</v>
      </c>
      <c r="M10" s="1">
        <v>7.2808219178082192</v>
      </c>
    </row>
    <row r="11" spans="1:13" x14ac:dyDescent="0.25">
      <c r="A11" s="1" t="s">
        <v>14</v>
      </c>
      <c r="B11" s="3">
        <v>2022</v>
      </c>
      <c r="C11" s="2">
        <v>62330226000</v>
      </c>
      <c r="D11" s="2">
        <v>46288481000</v>
      </c>
      <c r="E11" s="2">
        <v>2632780000</v>
      </c>
      <c r="F11" s="2">
        <v>8864832000</v>
      </c>
      <c r="G11" s="2">
        <v>142810000</v>
      </c>
      <c r="H11" s="1">
        <v>0.25740000000000002</v>
      </c>
      <c r="I11" s="1">
        <v>0.74270000000000003</v>
      </c>
      <c r="J11" s="1">
        <v>4.2200000000000001E-2</v>
      </c>
      <c r="K11" s="1">
        <v>62.073999999999998</v>
      </c>
      <c r="L11" s="1">
        <v>19.873859964665549</v>
      </c>
      <c r="M11" s="1">
        <v>11.991095890410961</v>
      </c>
    </row>
    <row r="12" spans="1:13" x14ac:dyDescent="0.25">
      <c r="A12" s="1" t="s">
        <v>14</v>
      </c>
      <c r="B12" s="3">
        <v>2023</v>
      </c>
      <c r="C12" s="2">
        <v>91459504000</v>
      </c>
      <c r="D12" s="2">
        <v>65360062000</v>
      </c>
      <c r="E12" s="2">
        <v>3291302000</v>
      </c>
      <c r="F12" s="2">
        <v>16684618000</v>
      </c>
      <c r="G12" s="2">
        <v>150682000</v>
      </c>
      <c r="H12" s="1">
        <v>0.28539999999999999</v>
      </c>
      <c r="I12" s="1">
        <v>0.71460000000000001</v>
      </c>
      <c r="J12" s="1">
        <v>3.5999999999999997E-2</v>
      </c>
      <c r="K12" s="1">
        <v>110.72029999999999</v>
      </c>
      <c r="L12" s="1">
        <v>30.76812806570052</v>
      </c>
      <c r="M12" s="1">
        <v>20.613698630136991</v>
      </c>
    </row>
    <row r="13" spans="1:13" x14ac:dyDescent="0.25">
      <c r="A13" s="1" t="s">
        <v>14</v>
      </c>
      <c r="B13" s="3">
        <v>2024</v>
      </c>
      <c r="C13" s="2">
        <v>113230777000</v>
      </c>
      <c r="D13" s="2">
        <v>76338286000</v>
      </c>
      <c r="E13" s="2">
        <v>4209973000</v>
      </c>
      <c r="F13" s="2">
        <v>27799569000</v>
      </c>
      <c r="G13" s="2">
        <v>165476000</v>
      </c>
      <c r="H13" s="1">
        <v>0.32579999999999998</v>
      </c>
      <c r="I13" s="1">
        <v>0.67420000000000002</v>
      </c>
      <c r="J13" s="1">
        <v>3.7199999999999997E-2</v>
      </c>
      <c r="K13" s="1">
        <v>168.09370000000001</v>
      </c>
      <c r="L13" s="1">
        <v>12.63253185304518</v>
      </c>
      <c r="M13" s="1">
        <v>18.961748633879779</v>
      </c>
    </row>
    <row r="14" spans="1:13" x14ac:dyDescent="0.25">
      <c r="A14" s="1" t="s">
        <v>15</v>
      </c>
      <c r="B14" s="3">
        <v>2019</v>
      </c>
      <c r="C14" s="2">
        <v>38857336000</v>
      </c>
      <c r="D14" s="2">
        <v>33687049000</v>
      </c>
      <c r="E14" s="2">
        <v>1091329000</v>
      </c>
      <c r="F14" s="2">
        <v>121219000</v>
      </c>
      <c r="G14" s="2">
        <v>1221574000</v>
      </c>
      <c r="H14" s="1">
        <v>0.1331</v>
      </c>
      <c r="I14" s="1">
        <v>0.86699999999999999</v>
      </c>
      <c r="J14" s="1">
        <v>2.81E-2</v>
      </c>
      <c r="K14" s="1">
        <v>9.9199999999999997E-2</v>
      </c>
      <c r="L14" s="1">
        <v>10.578361800455481</v>
      </c>
      <c r="M14" s="1">
        <v>11.990410958904111</v>
      </c>
    </row>
    <row r="15" spans="1:13" x14ac:dyDescent="0.25">
      <c r="A15" s="1" t="s">
        <v>15</v>
      </c>
      <c r="B15" s="3">
        <v>2020</v>
      </c>
      <c r="C15" s="2">
        <v>44155023000</v>
      </c>
      <c r="D15" s="2">
        <v>38202175000</v>
      </c>
      <c r="E15" s="2">
        <v>1186196000</v>
      </c>
      <c r="F15" s="2">
        <v>1506520000</v>
      </c>
      <c r="G15" s="2">
        <v>1238840000</v>
      </c>
      <c r="H15" s="1">
        <v>0.1348</v>
      </c>
      <c r="I15" s="1">
        <v>0.86509999999999998</v>
      </c>
      <c r="J15" s="1">
        <v>2.69E-2</v>
      </c>
      <c r="K15" s="1">
        <v>1.2161</v>
      </c>
      <c r="L15" s="1">
        <v>9.7399931389815464</v>
      </c>
      <c r="M15" s="1">
        <v>8.9364754098360653</v>
      </c>
    </row>
    <row r="16" spans="1:13" x14ac:dyDescent="0.25">
      <c r="A16" s="1" t="s">
        <v>15</v>
      </c>
      <c r="B16" s="3">
        <v>2021</v>
      </c>
      <c r="C16" s="2">
        <v>52094197000</v>
      </c>
      <c r="D16" s="2">
        <v>43256759000</v>
      </c>
      <c r="E16" s="2">
        <v>1636401000</v>
      </c>
      <c r="F16" s="2">
        <v>3441763000</v>
      </c>
      <c r="G16" s="2">
        <v>861374000</v>
      </c>
      <c r="H16" s="1">
        <v>0.16969999999999999</v>
      </c>
      <c r="I16" s="1">
        <v>0.83040000000000003</v>
      </c>
      <c r="J16" s="1">
        <v>3.1399999999999997E-2</v>
      </c>
      <c r="K16" s="1">
        <v>3.9956</v>
      </c>
      <c r="L16" s="1">
        <v>9.4962105612494696</v>
      </c>
      <c r="M16" s="1">
        <v>7.2808219178082192</v>
      </c>
    </row>
    <row r="17" spans="1:13" x14ac:dyDescent="0.25">
      <c r="A17" s="1" t="s">
        <v>15</v>
      </c>
      <c r="B17" s="3">
        <v>2022</v>
      </c>
      <c r="C17" s="2">
        <v>73473687000</v>
      </c>
      <c r="D17" s="2">
        <v>61365299000</v>
      </c>
      <c r="E17" s="2">
        <v>2042050000</v>
      </c>
      <c r="F17" s="2">
        <v>5330781000</v>
      </c>
      <c r="G17" s="2">
        <v>1379787000</v>
      </c>
      <c r="H17" s="1">
        <v>0.1648</v>
      </c>
      <c r="I17" s="1">
        <v>0.83520000000000005</v>
      </c>
      <c r="J17" s="1">
        <v>2.7799999999999998E-2</v>
      </c>
      <c r="K17" s="1">
        <v>3.863</v>
      </c>
      <c r="L17" s="1">
        <v>19.873859964665549</v>
      </c>
      <c r="M17" s="1">
        <v>11.991095890410961</v>
      </c>
    </row>
    <row r="18" spans="1:13" x14ac:dyDescent="0.25">
      <c r="A18" s="1" t="s">
        <v>15</v>
      </c>
      <c r="B18" s="3">
        <v>2023</v>
      </c>
      <c r="C18" s="2">
        <v>100235403000</v>
      </c>
      <c r="D18" s="2">
        <v>85826661000</v>
      </c>
      <c r="E18" s="2">
        <v>2523695000</v>
      </c>
      <c r="F18" s="2">
        <v>6117375000</v>
      </c>
      <c r="G18" s="2">
        <v>3126988000</v>
      </c>
      <c r="H18" s="1">
        <v>0.14380000000000001</v>
      </c>
      <c r="I18" s="1">
        <v>0.85629999999999995</v>
      </c>
      <c r="J18" s="1">
        <v>2.52E-2</v>
      </c>
      <c r="K18" s="1">
        <v>1.956</v>
      </c>
      <c r="L18" s="1">
        <v>30.76812806570052</v>
      </c>
      <c r="M18" s="1">
        <v>20.613698630136991</v>
      </c>
    </row>
    <row r="19" spans="1:13" x14ac:dyDescent="0.25">
      <c r="A19" s="1" t="s">
        <v>15</v>
      </c>
      <c r="B19" s="3">
        <v>2024</v>
      </c>
      <c r="C19" s="2">
        <v>107051450000</v>
      </c>
      <c r="D19" s="2">
        <v>90023807000</v>
      </c>
      <c r="E19" s="2">
        <v>2338291000</v>
      </c>
      <c r="F19" s="2">
        <v>6834741000</v>
      </c>
      <c r="G19" s="2">
        <v>3259327000</v>
      </c>
      <c r="H19" s="1">
        <v>0.15909999999999999</v>
      </c>
      <c r="I19" s="1">
        <v>0.84089999999999998</v>
      </c>
      <c r="J19" s="1">
        <v>2.18E-2</v>
      </c>
      <c r="K19" s="1">
        <v>2.097</v>
      </c>
      <c r="L19" s="1">
        <v>12.63253185304518</v>
      </c>
      <c r="M19" s="1">
        <v>18.961748633879779</v>
      </c>
    </row>
    <row r="20" spans="1:13" x14ac:dyDescent="0.25">
      <c r="A20" s="1" t="s">
        <v>16</v>
      </c>
      <c r="B20" s="3">
        <v>2019</v>
      </c>
      <c r="C20" s="2">
        <v>115962473000</v>
      </c>
      <c r="D20" s="2">
        <v>82613501000</v>
      </c>
      <c r="E20" s="2">
        <v>5058655000</v>
      </c>
      <c r="F20" s="2">
        <v>15024753000</v>
      </c>
      <c r="G20" s="2">
        <v>3187695000</v>
      </c>
      <c r="H20" s="1">
        <v>0.28760000000000002</v>
      </c>
      <c r="I20" s="1">
        <v>0.71240000000000003</v>
      </c>
      <c r="J20" s="1">
        <v>4.36E-2</v>
      </c>
      <c r="K20" s="1">
        <v>4.7130999999999998</v>
      </c>
      <c r="L20" s="1">
        <v>10.578361800455481</v>
      </c>
      <c r="M20" s="1">
        <v>11.990410958904111</v>
      </c>
    </row>
    <row r="21" spans="1:13" x14ac:dyDescent="0.25">
      <c r="A21" s="1" t="s">
        <v>16</v>
      </c>
      <c r="B21" s="3">
        <v>2020</v>
      </c>
      <c r="C21" s="2">
        <v>118781274000</v>
      </c>
      <c r="D21" s="2">
        <v>84016549000</v>
      </c>
      <c r="E21" s="2">
        <v>5054207000</v>
      </c>
      <c r="F21" s="2">
        <v>16060500000</v>
      </c>
      <c r="G21" s="2">
        <v>2805015000</v>
      </c>
      <c r="H21" s="1">
        <v>0.29270000000000002</v>
      </c>
      <c r="I21" s="1">
        <v>0.70740000000000003</v>
      </c>
      <c r="J21" s="1">
        <v>4.2599999999999999E-2</v>
      </c>
      <c r="K21" s="1">
        <v>5.726</v>
      </c>
      <c r="L21" s="1">
        <v>9.7399931389815464</v>
      </c>
      <c r="M21" s="1">
        <v>8.9364754098360653</v>
      </c>
    </row>
    <row r="22" spans="1:13" x14ac:dyDescent="0.25">
      <c r="A22" s="1" t="s">
        <v>16</v>
      </c>
      <c r="B22" s="3">
        <v>2021</v>
      </c>
      <c r="C22" s="2">
        <v>133295472000</v>
      </c>
      <c r="D22" s="2">
        <v>92803347000</v>
      </c>
      <c r="E22" s="2">
        <v>5051395000</v>
      </c>
      <c r="F22" s="2">
        <v>21577611000</v>
      </c>
      <c r="G22" s="2">
        <v>1840228000</v>
      </c>
      <c r="H22" s="1">
        <v>0.30403999999999998</v>
      </c>
      <c r="I22" s="1">
        <v>0.69618999999999998</v>
      </c>
      <c r="J22" s="1">
        <v>3.7900000000000003E-2</v>
      </c>
      <c r="K22" s="1">
        <v>11.7255</v>
      </c>
      <c r="L22" s="1">
        <v>9.4962105612494696</v>
      </c>
      <c r="M22" s="1">
        <v>7.2808219178082192</v>
      </c>
    </row>
    <row r="23" spans="1:13" x14ac:dyDescent="0.25">
      <c r="A23" s="1" t="s">
        <v>16</v>
      </c>
      <c r="B23" s="3">
        <v>2022</v>
      </c>
      <c r="C23" s="2">
        <v>162516255000</v>
      </c>
      <c r="D23" s="2">
        <v>112886474000</v>
      </c>
      <c r="E23" s="2">
        <v>5829265000</v>
      </c>
      <c r="F23" s="2">
        <v>26778978000</v>
      </c>
      <c r="G23" s="2">
        <v>2335994000</v>
      </c>
      <c r="H23" s="1">
        <v>0.3054</v>
      </c>
      <c r="I23" s="1">
        <v>0.69469999999999998</v>
      </c>
      <c r="J23" s="1">
        <v>3.5900000000000001E-2</v>
      </c>
      <c r="K23" s="1">
        <v>11.462999999999999</v>
      </c>
      <c r="L23" s="1">
        <v>19.873859964665549</v>
      </c>
      <c r="M23" s="1">
        <v>11.991095890410961</v>
      </c>
    </row>
    <row r="24" spans="1:13" x14ac:dyDescent="0.25">
      <c r="A24" s="1" t="s">
        <v>16</v>
      </c>
      <c r="B24" s="3">
        <v>2023</v>
      </c>
      <c r="C24" s="2">
        <v>200605005000</v>
      </c>
      <c r="D24" s="2">
        <v>129845135000</v>
      </c>
      <c r="E24" s="2">
        <v>8578415000</v>
      </c>
      <c r="F24" s="2">
        <v>34553298000</v>
      </c>
      <c r="G24" s="2">
        <v>2623853000</v>
      </c>
      <c r="H24" s="1">
        <v>0.35270000000000001</v>
      </c>
      <c r="I24" s="1">
        <v>0.64729999999999999</v>
      </c>
      <c r="J24" s="1">
        <v>4.2799999999999998E-2</v>
      </c>
      <c r="K24" s="1">
        <v>13.162000000000001</v>
      </c>
      <c r="L24" s="1">
        <v>30.76812806570052</v>
      </c>
      <c r="M24" s="1">
        <v>20.613698630136991</v>
      </c>
    </row>
    <row r="25" spans="1:13" x14ac:dyDescent="0.25">
      <c r="A25" s="1" t="s">
        <v>16</v>
      </c>
      <c r="B25" s="3">
        <v>2024</v>
      </c>
      <c r="C25" s="2">
        <v>193205756000</v>
      </c>
      <c r="D25" s="2">
        <v>123681762000</v>
      </c>
      <c r="E25" s="2">
        <v>9866771000</v>
      </c>
      <c r="F25" s="2">
        <v>29549225000</v>
      </c>
      <c r="G25" s="2">
        <v>2589499000</v>
      </c>
      <c r="H25" s="1">
        <v>0.35980000000000001</v>
      </c>
      <c r="I25" s="1">
        <v>0.63980000000000004</v>
      </c>
      <c r="J25" s="1">
        <v>5.11E-2</v>
      </c>
      <c r="K25" s="1">
        <v>11.411</v>
      </c>
      <c r="L25" s="1">
        <v>12.63253185304518</v>
      </c>
      <c r="M25" s="1">
        <v>18.961748633879779</v>
      </c>
    </row>
    <row r="26" spans="1:13" x14ac:dyDescent="0.25">
      <c r="A26" s="1" t="s">
        <v>17</v>
      </c>
      <c r="B26" s="3">
        <v>2019</v>
      </c>
      <c r="C26" s="2">
        <v>16602206000</v>
      </c>
      <c r="D26" s="2">
        <v>11283038000</v>
      </c>
      <c r="E26" s="2">
        <v>896967000</v>
      </c>
      <c r="F26" s="2">
        <v>1519678000</v>
      </c>
      <c r="G26" s="2">
        <v>157070000</v>
      </c>
      <c r="H26" s="1">
        <v>0.32040000000000002</v>
      </c>
      <c r="I26" s="1">
        <v>0.67959999999999998</v>
      </c>
      <c r="J26" s="1">
        <v>5.3999999999999999E-2</v>
      </c>
      <c r="K26" s="1">
        <v>9.6751000000000005</v>
      </c>
      <c r="L26" s="1">
        <v>10.578361800455481</v>
      </c>
      <c r="M26" s="1">
        <v>11.990410958904111</v>
      </c>
    </row>
    <row r="27" spans="1:13" x14ac:dyDescent="0.25">
      <c r="A27" s="1" t="s">
        <v>17</v>
      </c>
      <c r="B27" s="3">
        <v>2020</v>
      </c>
      <c r="C27" s="2">
        <v>19258717000</v>
      </c>
      <c r="D27" s="2">
        <v>13150298000</v>
      </c>
      <c r="E27" s="2">
        <v>1124242000</v>
      </c>
      <c r="F27" s="2">
        <v>1752011000</v>
      </c>
      <c r="G27" s="2">
        <v>163887000</v>
      </c>
      <c r="H27" s="1">
        <v>0.31719999999999998</v>
      </c>
      <c r="I27" s="1">
        <v>0.68279999999999996</v>
      </c>
      <c r="J27" s="1">
        <v>5.8400000000000001E-2</v>
      </c>
      <c r="K27" s="1">
        <v>10.69</v>
      </c>
      <c r="L27" s="1">
        <v>9.7399931389815464</v>
      </c>
      <c r="M27" s="1">
        <v>8.9364754098360653</v>
      </c>
    </row>
    <row r="28" spans="1:13" x14ac:dyDescent="0.25">
      <c r="A28" s="1" t="s">
        <v>17</v>
      </c>
      <c r="B28" s="3">
        <v>2021</v>
      </c>
      <c r="C28" s="2">
        <v>34588433000</v>
      </c>
      <c r="D28" s="2">
        <v>24836018000</v>
      </c>
      <c r="E28" s="2">
        <v>1457949000</v>
      </c>
      <c r="F28" s="2">
        <v>2945756000</v>
      </c>
      <c r="G28" s="2">
        <v>314768000</v>
      </c>
      <c r="H28" s="1">
        <v>0.28199999999999997</v>
      </c>
      <c r="I28" s="1">
        <v>0.71799999999999997</v>
      </c>
      <c r="J28" s="1">
        <v>4.2200000000000001E-2</v>
      </c>
      <c r="K28" s="1">
        <v>9.3580000000000005</v>
      </c>
      <c r="L28" s="1">
        <v>9.4962105612494696</v>
      </c>
      <c r="M28" s="1">
        <v>7.2808219178082192</v>
      </c>
    </row>
    <row r="29" spans="1:13" x14ac:dyDescent="0.25">
      <c r="A29" s="1" t="s">
        <v>17</v>
      </c>
      <c r="B29" s="3">
        <v>2022</v>
      </c>
      <c r="C29" s="2">
        <v>45525608000</v>
      </c>
      <c r="D29" s="2">
        <v>32322189000</v>
      </c>
      <c r="E29" s="2">
        <v>2088031000</v>
      </c>
      <c r="F29" s="2">
        <v>3615001000</v>
      </c>
      <c r="G29" s="2">
        <v>463810000</v>
      </c>
      <c r="H29" s="1">
        <v>0.28989999999999999</v>
      </c>
      <c r="I29" s="1">
        <v>0.71</v>
      </c>
      <c r="J29" s="1">
        <v>4.5900000000000003E-2</v>
      </c>
      <c r="K29" s="1">
        <v>7.7946999999999997</v>
      </c>
      <c r="L29" s="1">
        <v>19.873859964665549</v>
      </c>
      <c r="M29" s="1">
        <v>11.991095890410961</v>
      </c>
    </row>
    <row r="30" spans="1:13" x14ac:dyDescent="0.25">
      <c r="A30" s="1" t="s">
        <v>17</v>
      </c>
      <c r="B30" s="3">
        <v>2023</v>
      </c>
      <c r="C30" s="2">
        <v>64322287000</v>
      </c>
      <c r="D30" s="2">
        <v>46128408000</v>
      </c>
      <c r="E30" s="2">
        <v>2270000000</v>
      </c>
      <c r="F30" s="2">
        <v>6163690000</v>
      </c>
      <c r="G30" s="2">
        <v>1158889000</v>
      </c>
      <c r="H30" s="1">
        <v>0.2828</v>
      </c>
      <c r="I30" s="1">
        <v>0.71709999999999996</v>
      </c>
      <c r="J30" s="1">
        <v>3.5299999999999998E-2</v>
      </c>
      <c r="K30" s="1">
        <v>5.3185000000000002</v>
      </c>
      <c r="L30" s="1">
        <v>30.76812806570052</v>
      </c>
      <c r="M30" s="1">
        <v>20.613698630136991</v>
      </c>
    </row>
    <row r="31" spans="1:13" x14ac:dyDescent="0.25">
      <c r="A31" s="1" t="s">
        <v>17</v>
      </c>
      <c r="B31" s="3">
        <v>2024</v>
      </c>
      <c r="C31" s="2">
        <v>86375106000</v>
      </c>
      <c r="D31" s="2">
        <v>62805113000</v>
      </c>
      <c r="E31" s="2">
        <v>2569760000</v>
      </c>
      <c r="F31" s="2">
        <v>6223148000</v>
      </c>
      <c r="G31" s="2">
        <v>2597265000</v>
      </c>
      <c r="H31" s="1">
        <v>0.27289999999999998</v>
      </c>
      <c r="I31" s="1">
        <v>0.72709999999999997</v>
      </c>
      <c r="J31" s="1">
        <v>2.98E-2</v>
      </c>
      <c r="K31" s="1">
        <v>2.3967999999999998</v>
      </c>
      <c r="L31" s="1">
        <v>12.63253185304518</v>
      </c>
      <c r="M31" s="1">
        <v>18.961748633879779</v>
      </c>
    </row>
    <row r="32" spans="1:13" x14ac:dyDescent="0.25">
      <c r="A32" s="1" t="s">
        <v>18</v>
      </c>
      <c r="B32" s="3">
        <v>2019</v>
      </c>
      <c r="C32" s="2">
        <v>7704097000</v>
      </c>
      <c r="D32" s="2">
        <v>6172758000</v>
      </c>
      <c r="E32" s="2">
        <v>93535000</v>
      </c>
      <c r="F32" s="2">
        <v>220129000</v>
      </c>
      <c r="G32" s="2">
        <v>68195000</v>
      </c>
      <c r="H32" s="1">
        <v>0.1988</v>
      </c>
      <c r="I32" s="1">
        <v>0.80120000000000002</v>
      </c>
      <c r="J32" s="1">
        <v>1.21E-2</v>
      </c>
      <c r="K32" s="1">
        <v>3.2280000000000002</v>
      </c>
      <c r="L32" s="1">
        <v>10.578361800455481</v>
      </c>
      <c r="M32" s="1">
        <v>11.990410958904111</v>
      </c>
    </row>
    <row r="33" spans="1:13" x14ac:dyDescent="0.25">
      <c r="A33" s="1" t="s">
        <v>18</v>
      </c>
      <c r="B33" s="3">
        <v>2020</v>
      </c>
      <c r="C33" s="2">
        <v>7313042000</v>
      </c>
      <c r="D33" s="2">
        <v>6213833000</v>
      </c>
      <c r="E33" s="2">
        <v>21475000</v>
      </c>
      <c r="F33" s="2">
        <v>-95684000</v>
      </c>
      <c r="G33" s="2">
        <v>206986000</v>
      </c>
      <c r="H33" s="1">
        <v>0.15029999999999999</v>
      </c>
      <c r="I33" s="1">
        <v>0.84970000000000001</v>
      </c>
      <c r="J33" s="1">
        <v>2.8999999999999998E-3</v>
      </c>
      <c r="K33" s="1">
        <v>-0.46229999999999999</v>
      </c>
      <c r="L33" s="1">
        <v>9.7399931389815464</v>
      </c>
      <c r="M33" s="1">
        <v>8.9364754098360653</v>
      </c>
    </row>
    <row r="34" spans="1:13" x14ac:dyDescent="0.25">
      <c r="A34" s="1" t="s">
        <v>18</v>
      </c>
      <c r="B34" s="3">
        <v>2021</v>
      </c>
      <c r="C34" s="2">
        <v>6584452000</v>
      </c>
      <c r="D34" s="2">
        <v>5186645000</v>
      </c>
      <c r="E34" s="2">
        <v>17938000</v>
      </c>
      <c r="F34" s="2">
        <v>345384000</v>
      </c>
      <c r="G34" s="2">
        <v>124320000</v>
      </c>
      <c r="H34" s="1">
        <v>0.21229999999999999</v>
      </c>
      <c r="I34" s="1">
        <v>0.78769999999999996</v>
      </c>
      <c r="J34" s="1">
        <v>2.7000000000000001E-3</v>
      </c>
      <c r="K34" s="1">
        <v>2.7782</v>
      </c>
      <c r="L34" s="1">
        <v>9.4962105612494696</v>
      </c>
      <c r="M34" s="1">
        <v>7.2808219178082192</v>
      </c>
    </row>
    <row r="35" spans="1:13" x14ac:dyDescent="0.25">
      <c r="A35" s="1" t="s">
        <v>18</v>
      </c>
      <c r="B35" s="3">
        <v>2022</v>
      </c>
      <c r="C35" s="2">
        <v>8169271000</v>
      </c>
      <c r="D35" s="2">
        <v>6395873000</v>
      </c>
      <c r="E35" s="2">
        <v>31786000</v>
      </c>
      <c r="F35" s="2">
        <v>186403000</v>
      </c>
      <c r="G35" s="2">
        <v>119192000</v>
      </c>
      <c r="H35" s="1">
        <v>0.21709999999999999</v>
      </c>
      <c r="I35" s="1">
        <v>0.78300000000000003</v>
      </c>
      <c r="J35" s="1">
        <v>3.8999999999999998E-3</v>
      </c>
      <c r="K35" s="1">
        <v>1.5640000000000001</v>
      </c>
      <c r="L35" s="1">
        <v>19.873859964665549</v>
      </c>
      <c r="M35" s="1">
        <v>11.991095890410961</v>
      </c>
    </row>
    <row r="36" spans="1:13" x14ac:dyDescent="0.25">
      <c r="A36" s="1" t="s">
        <v>18</v>
      </c>
      <c r="B36" s="3">
        <v>2023</v>
      </c>
      <c r="C36" s="2">
        <v>8745424000</v>
      </c>
      <c r="D36" s="2">
        <v>6665173000</v>
      </c>
      <c r="E36" s="2">
        <v>22251000</v>
      </c>
      <c r="F36" s="2">
        <v>333318000</v>
      </c>
      <c r="G36" s="2">
        <v>279654000</v>
      </c>
      <c r="H36" s="1">
        <v>0.2379</v>
      </c>
      <c r="I36" s="1">
        <v>0.7621</v>
      </c>
      <c r="J36" s="1">
        <v>2.5000000000000001E-3</v>
      </c>
      <c r="K36" s="1">
        <v>1.1919999999999999</v>
      </c>
      <c r="L36" s="1">
        <v>30.76812806570052</v>
      </c>
      <c r="M36" s="1">
        <v>20.613698630136991</v>
      </c>
    </row>
    <row r="37" spans="1:13" x14ac:dyDescent="0.25">
      <c r="A37" s="1" t="s">
        <v>18</v>
      </c>
      <c r="B37" s="3">
        <v>2024</v>
      </c>
      <c r="C37" s="2">
        <v>8154971000</v>
      </c>
      <c r="D37" s="2">
        <v>6544543000</v>
      </c>
      <c r="E37" s="2">
        <v>7970000</v>
      </c>
      <c r="F37" s="2">
        <v>-73547000</v>
      </c>
      <c r="G37" s="2">
        <v>332072000</v>
      </c>
      <c r="H37" s="1">
        <v>0.19750000000000001</v>
      </c>
      <c r="I37" s="1">
        <v>0.80249999999999999</v>
      </c>
      <c r="J37" s="1">
        <v>1E-3</v>
      </c>
      <c r="K37" s="1">
        <v>-0.2215</v>
      </c>
      <c r="L37" s="1">
        <v>12.63253185304518</v>
      </c>
      <c r="M37" s="1">
        <v>18.961748633879779</v>
      </c>
    </row>
    <row r="38" spans="1:13" x14ac:dyDescent="0.25">
      <c r="A38" s="1" t="s">
        <v>19</v>
      </c>
      <c r="B38" s="3">
        <v>2019</v>
      </c>
      <c r="C38" s="2">
        <v>13291424000</v>
      </c>
      <c r="D38" s="2">
        <v>7861105000</v>
      </c>
      <c r="E38" s="2">
        <v>873163000</v>
      </c>
      <c r="F38" s="2">
        <v>2942876000</v>
      </c>
      <c r="G38" s="2">
        <v>135076000</v>
      </c>
      <c r="H38" s="1">
        <v>0.40860000000000002</v>
      </c>
      <c r="I38" s="1">
        <v>0.59140000000000004</v>
      </c>
      <c r="J38" s="1">
        <v>6.5699999999999995E-2</v>
      </c>
      <c r="K38" s="1">
        <v>21.786999999999999</v>
      </c>
      <c r="L38" s="1">
        <v>10.578361800455481</v>
      </c>
      <c r="M38" s="1">
        <v>11.990410958904111</v>
      </c>
    </row>
    <row r="39" spans="1:13" x14ac:dyDescent="0.25">
      <c r="A39" s="1" t="s">
        <v>19</v>
      </c>
      <c r="B39" s="3">
        <v>2020</v>
      </c>
      <c r="C39" s="2">
        <v>15572747000</v>
      </c>
      <c r="D39" s="2">
        <v>8894178000</v>
      </c>
      <c r="E39" s="2">
        <v>794460000</v>
      </c>
      <c r="F39" s="2">
        <v>4077508000</v>
      </c>
      <c r="G39" s="2">
        <v>22550000</v>
      </c>
      <c r="H39" s="1">
        <v>0.4289</v>
      </c>
      <c r="I39" s="1">
        <v>0.57110000000000005</v>
      </c>
      <c r="J39" s="1">
        <v>5.0999999999999997E-2</v>
      </c>
      <c r="K39" s="1">
        <v>180.82079999999999</v>
      </c>
      <c r="L39" s="1">
        <v>9.7399931389815464</v>
      </c>
      <c r="M39" s="1">
        <v>8.9364754098360653</v>
      </c>
    </row>
    <row r="40" spans="1:13" x14ac:dyDescent="0.25">
      <c r="A40" s="1" t="s">
        <v>19</v>
      </c>
      <c r="B40" s="3">
        <v>2021</v>
      </c>
      <c r="C40" s="2">
        <v>19820946000</v>
      </c>
      <c r="D40" s="2">
        <v>10904750000</v>
      </c>
      <c r="E40" s="2">
        <v>1323062000</v>
      </c>
      <c r="F40" s="2">
        <v>5501987000</v>
      </c>
      <c r="G40" s="2">
        <v>79151000</v>
      </c>
      <c r="H40" s="1">
        <v>0.44990000000000002</v>
      </c>
      <c r="I40" s="1">
        <v>0.55020000000000002</v>
      </c>
      <c r="J40" s="1">
        <v>6.6799999999999998E-2</v>
      </c>
      <c r="K40" s="1">
        <v>69.510999999999996</v>
      </c>
      <c r="L40" s="1">
        <v>9.4962105612494696</v>
      </c>
      <c r="M40" s="1">
        <v>7.2808219178082192</v>
      </c>
    </row>
    <row r="41" spans="1:13" x14ac:dyDescent="0.25">
      <c r="A41" s="1" t="s">
        <v>19</v>
      </c>
      <c r="B41" s="3">
        <v>2022</v>
      </c>
      <c r="C41" s="2">
        <v>28309317000</v>
      </c>
      <c r="D41" s="2">
        <v>16359841000</v>
      </c>
      <c r="E41" s="2">
        <v>1477565000</v>
      </c>
      <c r="F41" s="2">
        <v>8506272000</v>
      </c>
      <c r="G41" s="2">
        <v>139905000</v>
      </c>
      <c r="H41" s="1">
        <v>0.42209999999999998</v>
      </c>
      <c r="I41" s="1">
        <v>0.57799999999999996</v>
      </c>
      <c r="J41" s="1">
        <v>5.2200000000000003E-2</v>
      </c>
      <c r="K41" s="1">
        <v>60.8</v>
      </c>
      <c r="L41" s="1">
        <v>19.873859964665549</v>
      </c>
      <c r="M41" s="1">
        <v>11.991095890410961</v>
      </c>
    </row>
    <row r="42" spans="1:13" x14ac:dyDescent="0.25">
      <c r="A42" s="1" t="s">
        <v>19</v>
      </c>
      <c r="B42" s="3">
        <v>2023</v>
      </c>
      <c r="C42" s="2">
        <v>34586732000</v>
      </c>
      <c r="D42" s="2">
        <v>19777895000</v>
      </c>
      <c r="E42" s="2">
        <v>1915818000</v>
      </c>
      <c r="F42" s="2">
        <v>10472561000</v>
      </c>
      <c r="G42" s="2">
        <v>119461000</v>
      </c>
      <c r="H42" s="1">
        <v>0.42820000000000003</v>
      </c>
      <c r="I42" s="1">
        <v>0.57179999999999997</v>
      </c>
      <c r="J42" s="1">
        <v>5.5399999999999998E-2</v>
      </c>
      <c r="K42" s="1">
        <v>87.667000000000002</v>
      </c>
      <c r="L42" s="1">
        <v>30.76812806570052</v>
      </c>
      <c r="M42" s="1">
        <v>20.613698630136991</v>
      </c>
    </row>
    <row r="43" spans="1:13" x14ac:dyDescent="0.25">
      <c r="A43" s="1" t="s">
        <v>19</v>
      </c>
      <c r="B43" s="3">
        <v>2024</v>
      </c>
      <c r="C43" s="2">
        <v>33712049000</v>
      </c>
      <c r="D43" s="2">
        <v>20732024000</v>
      </c>
      <c r="E43" s="2">
        <v>1204328000</v>
      </c>
      <c r="F43" s="2">
        <v>10177013000</v>
      </c>
      <c r="G43" s="2">
        <v>35081000</v>
      </c>
      <c r="H43" s="1">
        <v>0.38500000000000001</v>
      </c>
      <c r="I43" s="1">
        <v>0.61499999999999999</v>
      </c>
      <c r="J43" s="1">
        <v>3.5700000000000003E-2</v>
      </c>
      <c r="K43" s="1">
        <v>290.13</v>
      </c>
      <c r="L43" s="1">
        <v>12.63253185304518</v>
      </c>
      <c r="M43" s="1">
        <v>18.961748633879779</v>
      </c>
    </row>
    <row r="44" spans="1:13" x14ac:dyDescent="0.25">
      <c r="A44" s="1" t="s">
        <v>20</v>
      </c>
      <c r="B44" s="3">
        <v>2019</v>
      </c>
      <c r="C44" s="2">
        <v>5744872328</v>
      </c>
      <c r="D44" s="2">
        <v>6423699048</v>
      </c>
      <c r="E44" s="2">
        <v>780492580</v>
      </c>
      <c r="F44" s="2">
        <v>-2434379066</v>
      </c>
      <c r="G44" s="2">
        <v>1698166696</v>
      </c>
      <c r="H44" s="1">
        <v>-0.1182</v>
      </c>
      <c r="I44" s="1">
        <v>1.1182000000000001</v>
      </c>
      <c r="J44" s="1">
        <v>0.13589999999999999</v>
      </c>
      <c r="K44" s="1">
        <v>-1.4335</v>
      </c>
      <c r="L44" s="1">
        <v>10.578361800455481</v>
      </c>
      <c r="M44" s="1">
        <v>11.990410958904111</v>
      </c>
    </row>
    <row r="45" spans="1:13" x14ac:dyDescent="0.25">
      <c r="A45" s="1" t="s">
        <v>20</v>
      </c>
      <c r="B45" s="3">
        <v>2020</v>
      </c>
      <c r="C45" s="2">
        <v>7373162067</v>
      </c>
      <c r="D45" s="2">
        <v>7310900013</v>
      </c>
      <c r="E45" s="2">
        <v>465283240</v>
      </c>
      <c r="F45" s="2">
        <v>-1147313168</v>
      </c>
      <c r="G45" s="2">
        <v>1752267407</v>
      </c>
      <c r="H45" s="1">
        <v>8.3999999999999995E-3</v>
      </c>
      <c r="I45" s="1">
        <v>0.99160000000000004</v>
      </c>
      <c r="J45" s="1">
        <v>6.3100000000000003E-2</v>
      </c>
      <c r="K45" s="1">
        <v>-0.65480000000000005</v>
      </c>
      <c r="L45" s="1">
        <v>9.7399931389815464</v>
      </c>
      <c r="M45" s="1">
        <v>8.9364754098360653</v>
      </c>
    </row>
    <row r="46" spans="1:13" x14ac:dyDescent="0.25">
      <c r="A46" s="1" t="s">
        <v>20</v>
      </c>
      <c r="B46" s="3">
        <v>2021</v>
      </c>
      <c r="C46" s="2">
        <v>8586396344</v>
      </c>
      <c r="D46" s="2">
        <v>7665360235</v>
      </c>
      <c r="E46" s="2">
        <v>553182762</v>
      </c>
      <c r="F46" s="2">
        <v>-457147837</v>
      </c>
      <c r="G46" s="2">
        <v>1155050524</v>
      </c>
      <c r="H46" s="1">
        <v>0.10730000000000001</v>
      </c>
      <c r="I46" s="1">
        <v>0.89270000000000005</v>
      </c>
      <c r="J46" s="1">
        <v>6.4399999999999999E-2</v>
      </c>
      <c r="K46" s="1">
        <v>-0.39579999999999999</v>
      </c>
      <c r="L46" s="1">
        <v>9.4962105612494696</v>
      </c>
      <c r="M46" s="1">
        <v>7.2808219178082192</v>
      </c>
    </row>
    <row r="47" spans="1:13" x14ac:dyDescent="0.25">
      <c r="A47" s="1" t="s">
        <v>20</v>
      </c>
      <c r="B47" s="3">
        <v>2022</v>
      </c>
      <c r="C47" s="2">
        <v>12350702418</v>
      </c>
      <c r="D47" s="2">
        <v>11380034184</v>
      </c>
      <c r="E47" s="2">
        <v>768783394</v>
      </c>
      <c r="F47" s="2">
        <v>-815763264</v>
      </c>
      <c r="G47" s="2">
        <v>1259766520</v>
      </c>
      <c r="H47" s="1">
        <v>7.8600000000000003E-2</v>
      </c>
      <c r="I47" s="1">
        <v>0.9214</v>
      </c>
      <c r="J47" s="1">
        <v>6.2199999999999998E-2</v>
      </c>
      <c r="K47" s="1">
        <v>-0.64749999999999996</v>
      </c>
      <c r="L47" s="1">
        <v>19.873859964665549</v>
      </c>
      <c r="M47" s="1">
        <v>11.991095890410961</v>
      </c>
    </row>
    <row r="48" spans="1:13" x14ac:dyDescent="0.25">
      <c r="A48" s="1" t="s">
        <v>20</v>
      </c>
      <c r="B48" s="3">
        <v>2023</v>
      </c>
      <c r="C48" s="2">
        <v>19809035759</v>
      </c>
      <c r="D48" s="2">
        <v>16826717108</v>
      </c>
      <c r="E48" s="2">
        <v>571515052</v>
      </c>
      <c r="F48" s="2">
        <v>936507296</v>
      </c>
      <c r="G48" s="2">
        <v>323792596</v>
      </c>
      <c r="H48" s="1">
        <v>0.15060000000000001</v>
      </c>
      <c r="I48" s="1">
        <v>0.84940000000000004</v>
      </c>
      <c r="J48" s="1">
        <v>2.8899999999999999E-2</v>
      </c>
      <c r="K48" s="1">
        <v>2.8923999999999999</v>
      </c>
      <c r="L48" s="1">
        <v>30.76812806570052</v>
      </c>
      <c r="M48" s="1">
        <v>20.613698630136991</v>
      </c>
    </row>
    <row r="49" spans="1:13" x14ac:dyDescent="0.25">
      <c r="A49" s="1" t="s">
        <v>20</v>
      </c>
      <c r="B49" s="3">
        <v>2024</v>
      </c>
      <c r="C49" s="2">
        <v>23401680285</v>
      </c>
      <c r="D49" s="2">
        <v>19681000800</v>
      </c>
      <c r="E49" s="2">
        <v>811106860</v>
      </c>
      <c r="F49" s="2">
        <v>1055134508</v>
      </c>
      <c r="G49" s="2">
        <v>34934929</v>
      </c>
      <c r="H49" s="1">
        <v>0.159</v>
      </c>
      <c r="I49" s="1">
        <v>0.84099999999999997</v>
      </c>
      <c r="J49" s="1">
        <v>3.4700000000000002E-2</v>
      </c>
      <c r="K49" s="1">
        <v>30.198899999999998</v>
      </c>
      <c r="L49" s="1">
        <v>12.63253185304518</v>
      </c>
      <c r="M49" s="1">
        <v>18.961748633879779</v>
      </c>
    </row>
    <row r="50" spans="1:13" x14ac:dyDescent="0.25">
      <c r="A50" s="1" t="s">
        <v>21</v>
      </c>
      <c r="B50" s="3">
        <v>2019</v>
      </c>
      <c r="C50" s="2">
        <v>30090888452</v>
      </c>
      <c r="D50" s="2">
        <v>23736870313</v>
      </c>
      <c r="E50" s="2">
        <v>993764195</v>
      </c>
      <c r="F50" s="2">
        <v>2223446084</v>
      </c>
      <c r="G50" s="2">
        <v>905629820</v>
      </c>
      <c r="H50" s="1">
        <v>0.21110000000000001</v>
      </c>
      <c r="I50" s="1">
        <v>0.79</v>
      </c>
      <c r="J50" s="1">
        <v>3.3000000000000002E-2</v>
      </c>
      <c r="K50" s="1">
        <v>2.4550000000000001</v>
      </c>
      <c r="L50" s="1">
        <v>10.578361800455481</v>
      </c>
      <c r="M50" s="1">
        <v>11.990410958904111</v>
      </c>
    </row>
    <row r="51" spans="1:13" x14ac:dyDescent="0.25">
      <c r="A51" s="1" t="s">
        <v>21</v>
      </c>
      <c r="B51" s="3">
        <v>2020</v>
      </c>
      <c r="C51" s="2">
        <v>33424762422</v>
      </c>
      <c r="D51" s="2">
        <v>26592382801</v>
      </c>
      <c r="E51" s="2">
        <v>1387963803</v>
      </c>
      <c r="F51" s="2">
        <v>1360016823</v>
      </c>
      <c r="G51" s="2">
        <v>1211530291</v>
      </c>
      <c r="H51" s="1">
        <v>0.2044</v>
      </c>
      <c r="I51" s="1">
        <v>0.79559999999999997</v>
      </c>
      <c r="J51" s="1">
        <v>4.1500000000000002E-2</v>
      </c>
      <c r="K51" s="1">
        <v>1.1226</v>
      </c>
      <c r="L51" s="1">
        <v>9.7399931389815464</v>
      </c>
      <c r="M51" s="1">
        <v>8.9364754098360653</v>
      </c>
    </row>
    <row r="52" spans="1:13" x14ac:dyDescent="0.25">
      <c r="A52" s="1" t="s">
        <v>21</v>
      </c>
      <c r="B52" s="3">
        <v>2021</v>
      </c>
      <c r="C52" s="2">
        <v>37524840569</v>
      </c>
      <c r="D52" s="2">
        <v>30354451977</v>
      </c>
      <c r="E52" s="2">
        <v>184747427</v>
      </c>
      <c r="F52" s="2">
        <v>1966268754</v>
      </c>
      <c r="G52" s="2">
        <v>726142880</v>
      </c>
      <c r="H52" s="1">
        <v>0.19109999999999999</v>
      </c>
      <c r="I52" s="1">
        <v>0.80889999999999995</v>
      </c>
      <c r="J52" s="1">
        <v>4.8999999999999998E-3</v>
      </c>
      <c r="K52" s="1">
        <v>2.7078000000000002</v>
      </c>
      <c r="L52" s="1">
        <v>9.4962105612494696</v>
      </c>
      <c r="M52" s="1">
        <v>7.2808219178082192</v>
      </c>
    </row>
    <row r="53" spans="1:13" x14ac:dyDescent="0.25">
      <c r="A53" s="1" t="s">
        <v>21</v>
      </c>
      <c r="B53" s="3">
        <v>2022</v>
      </c>
      <c r="C53" s="2">
        <v>55260699195</v>
      </c>
      <c r="D53" s="2">
        <v>45415201624</v>
      </c>
      <c r="E53" s="2">
        <v>637006776</v>
      </c>
      <c r="F53" s="2">
        <v>4244301042</v>
      </c>
      <c r="G53" s="2">
        <v>1413989787</v>
      </c>
      <c r="H53" s="1">
        <v>0.1782</v>
      </c>
      <c r="I53" s="1">
        <v>0.82179999999999997</v>
      </c>
      <c r="J53" s="1">
        <v>1.15E-2</v>
      </c>
      <c r="K53" s="1">
        <v>2.9946999999999999</v>
      </c>
      <c r="L53" s="1">
        <v>19.873859964665549</v>
      </c>
      <c r="M53" s="1">
        <v>11.991095890410961</v>
      </c>
    </row>
    <row r="54" spans="1:13" x14ac:dyDescent="0.25">
      <c r="A54" s="1" t="s">
        <v>21</v>
      </c>
      <c r="B54" s="3">
        <v>2023</v>
      </c>
      <c r="C54" s="2">
        <v>89643543663</v>
      </c>
      <c r="D54" s="2">
        <v>71079444949</v>
      </c>
      <c r="E54" s="2">
        <v>886769354</v>
      </c>
      <c r="F54" s="2">
        <v>9813553853</v>
      </c>
      <c r="G54" s="2">
        <v>4459624481</v>
      </c>
      <c r="H54" s="1">
        <v>0.20710000000000001</v>
      </c>
      <c r="I54" s="1">
        <v>0.79290000000000005</v>
      </c>
      <c r="J54" s="1">
        <v>9.9000000000000008E-3</v>
      </c>
      <c r="K54" s="1">
        <v>2.2006999999999999</v>
      </c>
      <c r="L54" s="1">
        <v>30.76812806570052</v>
      </c>
      <c r="M54" s="1">
        <v>20.613698630136991</v>
      </c>
    </row>
    <row r="55" spans="1:13" x14ac:dyDescent="0.25">
      <c r="A55" s="1" t="s">
        <v>21</v>
      </c>
      <c r="B55" s="3">
        <v>2024</v>
      </c>
      <c r="C55" s="2">
        <v>116967540849</v>
      </c>
      <c r="D55" s="2">
        <v>92647488472</v>
      </c>
      <c r="E55" s="2">
        <v>1212221388</v>
      </c>
      <c r="F55" s="2">
        <v>13420465937</v>
      </c>
      <c r="G55" s="2">
        <v>8038003682</v>
      </c>
      <c r="H55" s="1">
        <v>0.2079</v>
      </c>
      <c r="I55" s="1">
        <v>0.79210000000000003</v>
      </c>
      <c r="J55" s="1">
        <v>1.04E-2</v>
      </c>
      <c r="K55" s="1">
        <v>1.671</v>
      </c>
      <c r="L55" s="1">
        <v>12.63253185304518</v>
      </c>
      <c r="M55" s="1">
        <v>18.961748633879779</v>
      </c>
    </row>
    <row r="56" spans="1:13" x14ac:dyDescent="0.25">
      <c r="A56" s="1" t="s">
        <v>22</v>
      </c>
      <c r="B56" s="3">
        <v>2019</v>
      </c>
      <c r="C56" s="2">
        <v>1778794872</v>
      </c>
      <c r="D56" s="2">
        <v>1222057829</v>
      </c>
      <c r="E56" s="2">
        <v>116755409</v>
      </c>
      <c r="F56" s="2">
        <v>127213440</v>
      </c>
      <c r="G56" s="2">
        <v>41594682</v>
      </c>
      <c r="H56" s="1">
        <v>0.31309999999999999</v>
      </c>
      <c r="I56" s="1">
        <v>0.68700000000000006</v>
      </c>
      <c r="J56" s="1">
        <v>6.5600000000000006E-2</v>
      </c>
      <c r="K56" s="1">
        <v>3.0579999999999998</v>
      </c>
      <c r="L56" s="1">
        <v>10.578361800455481</v>
      </c>
      <c r="M56" s="1">
        <v>11.990410958904111</v>
      </c>
    </row>
    <row r="57" spans="1:13" x14ac:dyDescent="0.25">
      <c r="A57" s="1" t="s">
        <v>22</v>
      </c>
      <c r="B57" s="3">
        <v>2020</v>
      </c>
      <c r="C57" s="2">
        <v>1708620654</v>
      </c>
      <c r="D57" s="2">
        <v>1292601578</v>
      </c>
      <c r="E57" s="2">
        <v>57409241</v>
      </c>
      <c r="F57" s="2">
        <v>81532774</v>
      </c>
      <c r="G57" s="2">
        <v>100882938</v>
      </c>
      <c r="H57" s="1">
        <v>0.24349999999999999</v>
      </c>
      <c r="I57" s="1">
        <v>0.75649999999999995</v>
      </c>
      <c r="J57" s="1">
        <v>3.3599999999999998E-2</v>
      </c>
      <c r="K57" s="1">
        <v>0.80800000000000005</v>
      </c>
      <c r="L57" s="1">
        <v>9.7399931389815464</v>
      </c>
      <c r="M57" s="1">
        <v>8.9364754098360653</v>
      </c>
    </row>
    <row r="58" spans="1:13" x14ac:dyDescent="0.25">
      <c r="A58" s="1" t="s">
        <v>22</v>
      </c>
      <c r="B58" s="3">
        <v>2021</v>
      </c>
      <c r="C58" s="2">
        <v>2148550393</v>
      </c>
      <c r="D58" s="2">
        <v>1484717849</v>
      </c>
      <c r="E58" s="2">
        <v>64460957</v>
      </c>
      <c r="F58" s="2">
        <v>280540681</v>
      </c>
      <c r="G58" s="2">
        <v>52491216</v>
      </c>
      <c r="H58" s="1">
        <v>0.309</v>
      </c>
      <c r="I58" s="1">
        <v>0.69099999999999995</v>
      </c>
      <c r="J58" s="1">
        <v>0.03</v>
      </c>
      <c r="K58" s="1">
        <v>5.3440000000000003</v>
      </c>
      <c r="L58" s="1">
        <v>9.4962105612494696</v>
      </c>
      <c r="M58" s="1">
        <v>7.2808219178082192</v>
      </c>
    </row>
    <row r="59" spans="1:13" x14ac:dyDescent="0.25">
      <c r="A59" s="1" t="s">
        <v>22</v>
      </c>
      <c r="B59" s="3">
        <v>2022</v>
      </c>
      <c r="C59" s="2">
        <v>2662054711</v>
      </c>
      <c r="D59" s="2">
        <v>2023761461</v>
      </c>
      <c r="E59" s="2">
        <v>1314795044</v>
      </c>
      <c r="F59" s="2">
        <v>111728948</v>
      </c>
      <c r="G59" s="2">
        <v>85037887</v>
      </c>
      <c r="H59" s="1">
        <v>0.23980000000000001</v>
      </c>
      <c r="I59" s="1">
        <v>0.75990000000000002</v>
      </c>
      <c r="J59" s="1">
        <v>0.49390000000000001</v>
      </c>
      <c r="K59" s="1">
        <v>1.3139000000000001</v>
      </c>
      <c r="L59" s="1">
        <v>19.873859964665549</v>
      </c>
      <c r="M59" s="1">
        <v>11.991095890410961</v>
      </c>
    </row>
    <row r="60" spans="1:13" x14ac:dyDescent="0.25">
      <c r="A60" s="1" t="s">
        <v>22</v>
      </c>
      <c r="B60" s="3">
        <v>2023</v>
      </c>
      <c r="C60" s="2">
        <v>4357631431</v>
      </c>
      <c r="D60" s="2">
        <v>3225280381</v>
      </c>
      <c r="E60" s="2">
        <v>98360510</v>
      </c>
      <c r="F60" s="2">
        <v>430961447</v>
      </c>
      <c r="G60" s="2">
        <v>203126267</v>
      </c>
      <c r="H60" s="1">
        <v>0.25979999999999998</v>
      </c>
      <c r="I60" s="1">
        <v>0.74</v>
      </c>
      <c r="J60" s="1">
        <v>2.2599999999999999E-2</v>
      </c>
      <c r="K60" s="1">
        <v>2.1219999999999999</v>
      </c>
      <c r="L60" s="1">
        <v>30.76812806570052</v>
      </c>
      <c r="M60" s="1">
        <v>20.613698630136991</v>
      </c>
    </row>
    <row r="61" spans="1:13" x14ac:dyDescent="0.25">
      <c r="A61" s="1" t="s">
        <v>22</v>
      </c>
      <c r="B61" s="3">
        <v>2024</v>
      </c>
      <c r="C61" s="2">
        <v>3867121389</v>
      </c>
      <c r="D61" s="2">
        <v>2996365848</v>
      </c>
      <c r="E61" s="2">
        <v>201148390</v>
      </c>
      <c r="F61" s="2">
        <v>-66911037</v>
      </c>
      <c r="G61" s="2">
        <v>300970556</v>
      </c>
      <c r="H61" s="1">
        <v>0.22520000000000001</v>
      </c>
      <c r="I61" s="1">
        <v>0.77480000000000004</v>
      </c>
      <c r="J61" s="1">
        <v>5.1999999999999998E-2</v>
      </c>
      <c r="K61" s="1">
        <v>-0.2223</v>
      </c>
      <c r="L61" s="1">
        <v>12.63253185304518</v>
      </c>
      <c r="M61" s="1">
        <v>18.961748633879779</v>
      </c>
    </row>
    <row r="62" spans="1:13" x14ac:dyDescent="0.25">
      <c r="A62" s="1" t="s">
        <v>23</v>
      </c>
      <c r="B62" s="3">
        <v>2019</v>
      </c>
      <c r="C62" s="2">
        <v>14097237284</v>
      </c>
      <c r="D62" s="2">
        <v>12820034063</v>
      </c>
      <c r="E62" s="2">
        <v>61393549</v>
      </c>
      <c r="F62" s="2">
        <v>562929180</v>
      </c>
      <c r="G62" s="2">
        <v>288207562</v>
      </c>
      <c r="H62" s="1">
        <v>9.06E-2</v>
      </c>
      <c r="I62" s="1">
        <v>0.90939999999999999</v>
      </c>
      <c r="J62" s="1">
        <v>4.4000000000000003E-3</v>
      </c>
      <c r="K62" s="1">
        <v>1.9531000000000001</v>
      </c>
      <c r="L62" s="1">
        <v>10.578361800455481</v>
      </c>
      <c r="M62" s="1">
        <v>11.990410958904111</v>
      </c>
    </row>
    <row r="63" spans="1:13" x14ac:dyDescent="0.25">
      <c r="A63" s="1" t="s">
        <v>23</v>
      </c>
      <c r="B63" s="3">
        <v>2020</v>
      </c>
      <c r="C63" s="2">
        <v>29872020642</v>
      </c>
      <c r="D63" s="2">
        <v>27842732989</v>
      </c>
      <c r="E63" s="2">
        <v>50415746</v>
      </c>
      <c r="F63" s="2">
        <v>739539011</v>
      </c>
      <c r="G63" s="2">
        <v>544988721</v>
      </c>
      <c r="H63" s="1">
        <v>6.7900000000000002E-2</v>
      </c>
      <c r="I63" s="1">
        <v>0.93189999999999995</v>
      </c>
      <c r="J63" s="1">
        <v>1.6999999999999999E-3</v>
      </c>
      <c r="K63" s="1">
        <v>1.3571</v>
      </c>
      <c r="L63" s="1">
        <v>9.7399931389815464</v>
      </c>
      <c r="M63" s="1">
        <v>8.9364754098360653</v>
      </c>
    </row>
    <row r="64" spans="1:13" x14ac:dyDescent="0.25">
      <c r="A64" s="1" t="s">
        <v>23</v>
      </c>
      <c r="B64" s="3">
        <v>2021</v>
      </c>
      <c r="C64" s="2">
        <v>68831301040</v>
      </c>
      <c r="D64" s="2">
        <v>62180175227</v>
      </c>
      <c r="E64" s="2">
        <v>279989565</v>
      </c>
      <c r="F64" s="2">
        <v>4004000000</v>
      </c>
      <c r="G64" s="2">
        <v>960978338</v>
      </c>
      <c r="H64" s="1">
        <v>9.6600000000000005E-2</v>
      </c>
      <c r="I64" s="1">
        <v>0.90339999999999998</v>
      </c>
      <c r="J64" s="1">
        <v>4.1000000000000003E-3</v>
      </c>
      <c r="K64" s="1">
        <v>4.1660000000000004</v>
      </c>
      <c r="L64" s="1">
        <v>9.4962105612494696</v>
      </c>
      <c r="M64" s="1">
        <v>7.2808219178082192</v>
      </c>
    </row>
    <row r="65" spans="1:13" x14ac:dyDescent="0.25">
      <c r="A65" s="1" t="s">
        <v>23</v>
      </c>
      <c r="B65" s="3">
        <v>2022</v>
      </c>
      <c r="C65" s="2">
        <v>87713010270</v>
      </c>
      <c r="D65" s="2">
        <v>79475327120</v>
      </c>
      <c r="E65" s="2">
        <v>171241207</v>
      </c>
      <c r="F65" s="2">
        <v>3950071602</v>
      </c>
      <c r="G65" s="2">
        <v>1800963174</v>
      </c>
      <c r="H65" s="1">
        <v>9.3899999999999997E-2</v>
      </c>
      <c r="I65" s="1">
        <v>0.90610000000000002</v>
      </c>
      <c r="J65" s="1">
        <v>2E-3</v>
      </c>
      <c r="K65" s="1">
        <v>2.1932999999999998</v>
      </c>
      <c r="L65" s="1">
        <v>19.873859964665549</v>
      </c>
      <c r="M65" s="1">
        <v>11.991095890410961</v>
      </c>
    </row>
    <row r="66" spans="1:13" x14ac:dyDescent="0.25">
      <c r="A66" s="1" t="s">
        <v>23</v>
      </c>
      <c r="B66" s="3">
        <v>2023</v>
      </c>
      <c r="C66" s="2">
        <v>100870351000</v>
      </c>
      <c r="D66" s="2">
        <v>87059117000</v>
      </c>
      <c r="E66" s="2">
        <v>197017000</v>
      </c>
      <c r="F66" s="2">
        <v>3878986000</v>
      </c>
      <c r="G66" s="2">
        <v>3564114000</v>
      </c>
      <c r="H66" s="1">
        <v>0.13689999999999999</v>
      </c>
      <c r="I66" s="1">
        <v>0.86309999999999998</v>
      </c>
      <c r="J66" s="1">
        <v>2E-3</v>
      </c>
      <c r="K66" s="1">
        <v>1.0880000000000001</v>
      </c>
      <c r="L66" s="1">
        <v>30.76812806570052</v>
      </c>
      <c r="M66" s="1">
        <v>20.613698630136991</v>
      </c>
    </row>
    <row r="67" spans="1:13" x14ac:dyDescent="0.25">
      <c r="A67" s="1" t="s">
        <v>23</v>
      </c>
      <c r="B67" s="3">
        <v>2024</v>
      </c>
      <c r="C67" s="2">
        <v>83002785000</v>
      </c>
      <c r="D67" s="2">
        <v>75754488000</v>
      </c>
      <c r="E67" s="2">
        <v>254460000</v>
      </c>
      <c r="F67" s="2">
        <v>4805487000</v>
      </c>
      <c r="G67" s="2">
        <v>7440127000</v>
      </c>
      <c r="H67" s="1">
        <v>8.7300000000000003E-2</v>
      </c>
      <c r="I67" s="1">
        <v>0.91269999999999996</v>
      </c>
      <c r="J67" s="1">
        <v>3.0999999999999999E-3</v>
      </c>
      <c r="K67" s="1">
        <v>0.64600000000000002</v>
      </c>
      <c r="L67" s="1">
        <v>12.63253185304518</v>
      </c>
      <c r="M67" s="1">
        <v>18.961748633879779</v>
      </c>
    </row>
    <row r="68" spans="1:13" x14ac:dyDescent="0.25">
      <c r="A68" s="1" t="s">
        <v>24</v>
      </c>
      <c r="B68" s="3">
        <v>2019</v>
      </c>
      <c r="C68" s="2">
        <v>2419329000</v>
      </c>
      <c r="D68" s="2">
        <v>1706308000</v>
      </c>
      <c r="E68" s="2">
        <v>149391000</v>
      </c>
      <c r="F68" s="2">
        <v>151529000</v>
      </c>
      <c r="G68" s="2">
        <v>25918000</v>
      </c>
      <c r="H68" s="1">
        <v>0.29470000000000002</v>
      </c>
      <c r="I68" s="1">
        <v>0.70530000000000004</v>
      </c>
      <c r="J68" s="1">
        <v>6.1800000000000001E-2</v>
      </c>
      <c r="K68" s="1">
        <v>5.8470000000000004</v>
      </c>
      <c r="L68" s="1">
        <v>10.578361800455481</v>
      </c>
      <c r="M68" s="1">
        <v>11.990410958904111</v>
      </c>
    </row>
    <row r="69" spans="1:13" x14ac:dyDescent="0.25">
      <c r="A69" s="1" t="s">
        <v>24</v>
      </c>
      <c r="B69" s="3">
        <v>2020</v>
      </c>
      <c r="C69" s="2">
        <v>2443461000</v>
      </c>
      <c r="D69" s="2">
        <v>1843796000</v>
      </c>
      <c r="E69" s="2">
        <v>64176000</v>
      </c>
      <c r="F69" s="2">
        <v>67515000</v>
      </c>
      <c r="G69" s="2">
        <v>16575000</v>
      </c>
      <c r="H69" s="1">
        <v>0.24540000000000001</v>
      </c>
      <c r="I69" s="1">
        <v>0.75460000000000005</v>
      </c>
      <c r="J69" s="1">
        <v>2.63E-2</v>
      </c>
      <c r="K69" s="1">
        <v>4.0731999999999999</v>
      </c>
      <c r="L69" s="1">
        <v>9.7399931389815464</v>
      </c>
      <c r="M69" s="1">
        <v>8.9364754098360653</v>
      </c>
    </row>
    <row r="70" spans="1:13" x14ac:dyDescent="0.25">
      <c r="A70" s="1" t="s">
        <v>24</v>
      </c>
      <c r="B70" s="3">
        <v>2021</v>
      </c>
      <c r="C70" s="2">
        <v>2737550000</v>
      </c>
      <c r="D70" s="2">
        <v>2451352000</v>
      </c>
      <c r="E70" s="2">
        <v>68325000</v>
      </c>
      <c r="F70" s="2">
        <v>-232089000</v>
      </c>
      <c r="G70" s="2">
        <v>25556000</v>
      </c>
      <c r="H70" s="1">
        <v>0.1045</v>
      </c>
      <c r="I70" s="1">
        <v>0.89549999999999996</v>
      </c>
      <c r="J70" s="1">
        <v>2.5000000000000001E-2</v>
      </c>
      <c r="K70" s="1">
        <v>-9.0810999999999993</v>
      </c>
      <c r="L70" s="1">
        <v>9.4962105612494696</v>
      </c>
      <c r="M70" s="1">
        <v>7.2808219178082192</v>
      </c>
    </row>
    <row r="71" spans="1:13" x14ac:dyDescent="0.25">
      <c r="A71" s="1" t="s">
        <v>24</v>
      </c>
      <c r="B71" s="3">
        <v>2022</v>
      </c>
      <c r="C71" s="2">
        <v>4061842000</v>
      </c>
      <c r="D71" s="2">
        <v>3314497000</v>
      </c>
      <c r="E71" s="2">
        <v>20477000</v>
      </c>
      <c r="F71" s="2">
        <v>150700000</v>
      </c>
      <c r="G71" s="2">
        <v>81027000</v>
      </c>
      <c r="H71" s="1">
        <v>0.184</v>
      </c>
      <c r="I71" s="1">
        <v>0.81599999999999995</v>
      </c>
      <c r="J71" s="1">
        <v>5.0000000000000001E-3</v>
      </c>
      <c r="K71" s="1">
        <v>1.8599000000000001</v>
      </c>
      <c r="L71" s="1">
        <v>19.873859964665549</v>
      </c>
      <c r="M71" s="1">
        <v>11.991095890410961</v>
      </c>
    </row>
    <row r="72" spans="1:13" x14ac:dyDescent="0.25">
      <c r="A72" s="1" t="s">
        <v>24</v>
      </c>
      <c r="B72" s="3">
        <v>2023</v>
      </c>
      <c r="C72" s="2">
        <v>5674322000</v>
      </c>
      <c r="D72" s="2">
        <v>4064983000</v>
      </c>
      <c r="E72" s="2">
        <v>145524000</v>
      </c>
      <c r="F72" s="2">
        <v>485566000</v>
      </c>
      <c r="G72" s="2">
        <v>138783000</v>
      </c>
      <c r="H72" s="1">
        <v>0.28360000000000002</v>
      </c>
      <c r="I72" s="1">
        <v>0.71640000000000004</v>
      </c>
      <c r="J72" s="1">
        <v>2.5600000000000001E-2</v>
      </c>
      <c r="K72" s="1">
        <v>3.4990000000000001</v>
      </c>
      <c r="L72" s="1">
        <v>30.76812806570052</v>
      </c>
      <c r="M72" s="1">
        <v>20.613698630136991</v>
      </c>
    </row>
    <row r="73" spans="1:13" x14ac:dyDescent="0.25">
      <c r="A73" s="1" t="s">
        <v>24</v>
      </c>
      <c r="B73" s="3">
        <v>2024</v>
      </c>
      <c r="C73" s="2">
        <v>6364851000</v>
      </c>
      <c r="D73" s="2">
        <v>4603743000</v>
      </c>
      <c r="E73" s="2">
        <v>270055000</v>
      </c>
      <c r="F73" s="2">
        <v>211162000</v>
      </c>
      <c r="G73" s="2">
        <v>118959000</v>
      </c>
      <c r="H73" s="1">
        <v>0.2767</v>
      </c>
      <c r="I73" s="1">
        <v>0.72319999999999995</v>
      </c>
      <c r="J73" s="1">
        <v>4.24E-2</v>
      </c>
      <c r="K73" s="1">
        <v>1.7749999999999999</v>
      </c>
      <c r="L73" s="1">
        <v>12.63253185304518</v>
      </c>
      <c r="M73" s="1">
        <v>18.961748633879779</v>
      </c>
    </row>
    <row r="74" spans="1:13" x14ac:dyDescent="0.25">
      <c r="A74" s="1" t="s">
        <v>25</v>
      </c>
      <c r="B74" s="3">
        <v>2019</v>
      </c>
      <c r="C74" s="1">
        <v>1962721000</v>
      </c>
      <c r="D74" s="1">
        <v>1310766000</v>
      </c>
      <c r="E74" s="1">
        <v>217889000</v>
      </c>
      <c r="F74" s="1">
        <v>235820000</v>
      </c>
      <c r="G74" s="1">
        <v>7376000</v>
      </c>
      <c r="H74" s="1">
        <v>0.3322</v>
      </c>
      <c r="I74" s="1">
        <v>0.66779999999999995</v>
      </c>
      <c r="J74" s="1">
        <v>0.111</v>
      </c>
      <c r="K74" s="1">
        <v>31.9726</v>
      </c>
      <c r="L74" s="1">
        <v>10.578361800455481</v>
      </c>
      <c r="M74" s="1">
        <v>11.990410958904111</v>
      </c>
    </row>
    <row r="75" spans="1:13" x14ac:dyDescent="0.25">
      <c r="A75" s="1" t="s">
        <v>25</v>
      </c>
      <c r="B75" s="3">
        <v>2020</v>
      </c>
      <c r="C75" s="1">
        <v>1971294000</v>
      </c>
      <c r="D75" s="1">
        <v>1313194000</v>
      </c>
      <c r="E75" s="1">
        <v>129505000</v>
      </c>
      <c r="F75" s="1">
        <v>351531000</v>
      </c>
      <c r="G75" s="1">
        <v>5530000</v>
      </c>
      <c r="H75" s="1">
        <v>0.33379999999999999</v>
      </c>
      <c r="I75" s="1">
        <v>0.66620000000000001</v>
      </c>
      <c r="J75" s="1">
        <v>6.5699999999999995E-2</v>
      </c>
      <c r="K75" s="1">
        <v>63.567999999999998</v>
      </c>
      <c r="L75" s="1">
        <v>9.7399931389815464</v>
      </c>
      <c r="M75" s="1">
        <v>8.9364754098360653</v>
      </c>
    </row>
    <row r="76" spans="1:13" x14ac:dyDescent="0.25">
      <c r="A76" s="1" t="s">
        <v>25</v>
      </c>
      <c r="B76" s="3">
        <v>2021</v>
      </c>
      <c r="C76" s="1">
        <v>2162727000</v>
      </c>
      <c r="D76" s="1">
        <v>1725063000</v>
      </c>
      <c r="E76" s="1">
        <v>166547000</v>
      </c>
      <c r="F76" s="1">
        <v>156367000</v>
      </c>
      <c r="G76" s="1">
        <v>3101000</v>
      </c>
      <c r="H76" s="1">
        <v>0.2024</v>
      </c>
      <c r="I76" s="1">
        <v>0.79759999999999998</v>
      </c>
      <c r="J76" s="1">
        <v>7.6899999999999996E-2</v>
      </c>
      <c r="K76" s="1">
        <v>50.424999999999997</v>
      </c>
      <c r="L76" s="1">
        <v>9.4962105612494696</v>
      </c>
      <c r="M76" s="1">
        <v>7.2808219178082192</v>
      </c>
    </row>
    <row r="77" spans="1:13" x14ac:dyDescent="0.25">
      <c r="A77" s="1" t="s">
        <v>25</v>
      </c>
      <c r="B77" s="3">
        <v>2022</v>
      </c>
      <c r="C77" s="1">
        <v>2453305000</v>
      </c>
      <c r="D77" s="1">
        <v>1834462000</v>
      </c>
      <c r="E77" s="1">
        <v>239971000</v>
      </c>
      <c r="F77" s="1">
        <v>239331000</v>
      </c>
      <c r="G77" s="1">
        <v>8251000</v>
      </c>
      <c r="H77" s="1">
        <v>0.25219999999999998</v>
      </c>
      <c r="I77" s="1">
        <v>0.74780000000000002</v>
      </c>
      <c r="J77" s="1">
        <v>9.7799999999999998E-2</v>
      </c>
      <c r="K77" s="1">
        <v>29.0063</v>
      </c>
      <c r="L77" s="1">
        <v>19.873859964665549</v>
      </c>
      <c r="M77" s="1">
        <v>11.991095890410961</v>
      </c>
    </row>
    <row r="78" spans="1:13" x14ac:dyDescent="0.25">
      <c r="A78" s="1" t="s">
        <v>25</v>
      </c>
      <c r="B78" s="3">
        <v>2023</v>
      </c>
      <c r="C78" s="1">
        <v>3024531000</v>
      </c>
      <c r="D78" s="1">
        <v>1434536000</v>
      </c>
      <c r="E78" s="1">
        <v>299678000</v>
      </c>
      <c r="F78" s="1">
        <v>1138110000</v>
      </c>
      <c r="G78" s="1">
        <v>153240000</v>
      </c>
      <c r="H78" s="1">
        <v>0.52569999999999995</v>
      </c>
      <c r="I78" s="1">
        <v>0.4743</v>
      </c>
      <c r="J78" s="1">
        <v>9.9099999999999994E-2</v>
      </c>
      <c r="K78" s="1">
        <v>7.4269999999999996</v>
      </c>
      <c r="L78" s="1">
        <v>30.76812806570052</v>
      </c>
      <c r="M78" s="1">
        <v>20.613698630136991</v>
      </c>
    </row>
    <row r="79" spans="1:13" x14ac:dyDescent="0.25">
      <c r="A79" s="1" t="s">
        <v>25</v>
      </c>
      <c r="B79" s="3">
        <v>2024</v>
      </c>
      <c r="C79" s="1">
        <v>1502010000</v>
      </c>
      <c r="D79" s="1">
        <v>1008371000</v>
      </c>
      <c r="E79" s="1">
        <v>87350000</v>
      </c>
      <c r="F79" s="1">
        <v>371462000</v>
      </c>
      <c r="G79" s="1">
        <v>216299000</v>
      </c>
      <c r="H79" s="1">
        <v>0.32869999999999999</v>
      </c>
      <c r="I79" s="1">
        <v>0.67130000000000001</v>
      </c>
      <c r="J79" s="1">
        <v>5.8200000000000002E-2</v>
      </c>
      <c r="K79" s="1">
        <v>1.7174</v>
      </c>
      <c r="L79" s="1">
        <v>12.63253185304518</v>
      </c>
      <c r="M79" s="1">
        <v>18.961748633879779</v>
      </c>
    </row>
    <row r="80" spans="1:13" x14ac:dyDescent="0.25">
      <c r="A80" s="1" t="s">
        <v>26</v>
      </c>
      <c r="B80" s="3">
        <v>2019</v>
      </c>
      <c r="C80" s="1">
        <v>2568870049</v>
      </c>
      <c r="D80" s="1">
        <v>1880389030</v>
      </c>
      <c r="E80" s="1">
        <v>15350256</v>
      </c>
      <c r="F80" s="1">
        <v>223092332</v>
      </c>
      <c r="G80" s="1">
        <v>64819299</v>
      </c>
      <c r="H80" s="1">
        <v>0.26790000000000003</v>
      </c>
      <c r="I80" s="1">
        <v>0.73199999999999998</v>
      </c>
      <c r="J80" s="1">
        <v>6.0000000000000001E-3</v>
      </c>
      <c r="K80" s="1">
        <v>3.4418000000000002</v>
      </c>
      <c r="L80" s="1">
        <v>10.578361800455481</v>
      </c>
      <c r="M80" s="1">
        <v>11.990410958904111</v>
      </c>
    </row>
    <row r="81" spans="1:13" x14ac:dyDescent="0.25">
      <c r="A81" s="1" t="s">
        <v>26</v>
      </c>
      <c r="B81" s="3">
        <v>2020</v>
      </c>
      <c r="C81" s="1">
        <v>2791857589</v>
      </c>
      <c r="D81" s="1">
        <v>2025108694</v>
      </c>
      <c r="E81" s="1">
        <v>15428432</v>
      </c>
      <c r="F81" s="1">
        <v>278712470</v>
      </c>
      <c r="G81" s="1">
        <v>93547781</v>
      </c>
      <c r="H81" s="1">
        <v>0.27460000000000001</v>
      </c>
      <c r="I81" s="1">
        <v>0.72540000000000004</v>
      </c>
      <c r="J81" s="1">
        <v>5.4999999999999997E-3</v>
      </c>
      <c r="K81" s="1">
        <v>2.9794</v>
      </c>
      <c r="L81" s="1">
        <v>9.7399931389815464</v>
      </c>
      <c r="M81" s="1">
        <v>8.9364754098360653</v>
      </c>
    </row>
    <row r="82" spans="1:13" x14ac:dyDescent="0.25">
      <c r="A82" s="1" t="s">
        <v>26</v>
      </c>
      <c r="B82" s="3">
        <v>2021</v>
      </c>
      <c r="C82" s="1">
        <v>3570045254</v>
      </c>
      <c r="D82" s="1">
        <v>2627641418</v>
      </c>
      <c r="E82" s="1">
        <v>38246026</v>
      </c>
      <c r="F82" s="1">
        <v>332893690</v>
      </c>
      <c r="G82" s="1">
        <v>84042256</v>
      </c>
      <c r="H82" s="1">
        <v>0.26400000000000001</v>
      </c>
      <c r="I82" s="1">
        <v>0.73599999999999999</v>
      </c>
      <c r="J82" s="1">
        <v>1.0699999999999999E-2</v>
      </c>
      <c r="K82" s="1">
        <v>3.9609999999999999</v>
      </c>
      <c r="L82" s="1">
        <v>9.4962105612494696</v>
      </c>
      <c r="M82" s="1">
        <v>7.2808219178082192</v>
      </c>
    </row>
    <row r="83" spans="1:13" x14ac:dyDescent="0.25">
      <c r="A83" s="1" t="s">
        <v>26</v>
      </c>
      <c r="B83" s="3">
        <v>2022</v>
      </c>
      <c r="C83" s="1">
        <v>4468902597</v>
      </c>
      <c r="D83" s="1">
        <v>3478245931</v>
      </c>
      <c r="E83" s="1">
        <v>27571815</v>
      </c>
      <c r="F83" s="1">
        <v>275822900</v>
      </c>
      <c r="G83" s="1">
        <v>111023710</v>
      </c>
      <c r="H83" s="1">
        <v>0.22170000000000001</v>
      </c>
      <c r="I83" s="1">
        <v>0.77839999999999998</v>
      </c>
      <c r="J83" s="1">
        <v>6.1999999999999998E-3</v>
      </c>
      <c r="K83" s="1">
        <v>2.4843999999999999</v>
      </c>
      <c r="L83" s="1">
        <v>19.873859964665549</v>
      </c>
      <c r="M83" s="1">
        <v>11.991095890410961</v>
      </c>
    </row>
    <row r="84" spans="1:13" x14ac:dyDescent="0.25">
      <c r="A84" s="1" t="s">
        <v>26</v>
      </c>
      <c r="B84" s="3">
        <v>2023</v>
      </c>
      <c r="C84" s="1">
        <v>5686622639</v>
      </c>
      <c r="D84" s="1">
        <v>4326891340</v>
      </c>
      <c r="E84" s="1">
        <v>8981714</v>
      </c>
      <c r="F84" s="1">
        <v>407742575</v>
      </c>
      <c r="G84" s="1">
        <v>208252412</v>
      </c>
      <c r="H84" s="1">
        <v>0.23910000000000001</v>
      </c>
      <c r="I84" s="1">
        <v>0.76090000000000002</v>
      </c>
      <c r="J84" s="1">
        <v>1.6000000000000001E-3</v>
      </c>
      <c r="K84" s="1">
        <v>1.958</v>
      </c>
      <c r="L84" s="1">
        <v>30.76812806570052</v>
      </c>
      <c r="M84" s="1">
        <v>20.613698630136991</v>
      </c>
    </row>
    <row r="85" spans="1:13" x14ac:dyDescent="0.25">
      <c r="A85" s="1" t="s">
        <v>26</v>
      </c>
      <c r="B85" s="3">
        <v>2024</v>
      </c>
      <c r="C85" s="1">
        <v>7009267774</v>
      </c>
      <c r="D85" s="1">
        <v>5585396742</v>
      </c>
      <c r="E85" s="1">
        <v>7300400</v>
      </c>
      <c r="F85" s="1">
        <v>249964513</v>
      </c>
      <c r="G85" s="1">
        <v>271850142</v>
      </c>
      <c r="H85" s="1">
        <v>0.2031</v>
      </c>
      <c r="I85" s="1">
        <v>0.79690000000000005</v>
      </c>
      <c r="J85" s="1">
        <v>1E-3</v>
      </c>
      <c r="K85" s="1">
        <v>0.91949999999999998</v>
      </c>
      <c r="L85" s="1">
        <v>12.63253185304518</v>
      </c>
      <c r="M85" s="1">
        <v>18.961748633879779</v>
      </c>
    </row>
    <row r="86" spans="1:13" x14ac:dyDescent="0.25">
      <c r="A86" s="1" t="s">
        <v>27</v>
      </c>
      <c r="B86" s="3">
        <v>2019</v>
      </c>
      <c r="C86" s="1">
        <v>1513288448</v>
      </c>
      <c r="D86" s="1">
        <v>722395311</v>
      </c>
      <c r="E86" s="1">
        <v>13766748</v>
      </c>
      <c r="F86" s="1">
        <v>271676992</v>
      </c>
      <c r="G86" s="1">
        <v>22464737</v>
      </c>
      <c r="H86" s="1">
        <v>0.52259999999999995</v>
      </c>
      <c r="I86" s="1">
        <v>0.47739999999999999</v>
      </c>
      <c r="J86" s="1">
        <v>9.1000000000000004E-3</v>
      </c>
      <c r="K86" s="1">
        <v>12.093</v>
      </c>
      <c r="L86" s="1">
        <v>10.578361800455481</v>
      </c>
      <c r="M86" s="1">
        <v>11.990410958904111</v>
      </c>
    </row>
    <row r="87" spans="1:13" x14ac:dyDescent="0.25">
      <c r="A87" s="1" t="s">
        <v>27</v>
      </c>
      <c r="B87" s="3">
        <v>2020</v>
      </c>
      <c r="C87" s="1">
        <v>1811537025</v>
      </c>
      <c r="D87" s="1">
        <v>1011403941</v>
      </c>
      <c r="E87" s="1">
        <v>14829295</v>
      </c>
      <c r="F87" s="1">
        <v>172255337</v>
      </c>
      <c r="G87" s="1">
        <v>53651597</v>
      </c>
      <c r="H87" s="1">
        <v>0.44169999999999998</v>
      </c>
      <c r="I87" s="1">
        <v>0.55830000000000002</v>
      </c>
      <c r="J87" s="1">
        <v>8.2000000000000007E-3</v>
      </c>
      <c r="K87" s="1">
        <v>3.2105000000000001</v>
      </c>
      <c r="L87" s="1">
        <v>9.7399931389815464</v>
      </c>
      <c r="M87" s="1">
        <v>8.9364754098360653</v>
      </c>
    </row>
    <row r="88" spans="1:13" x14ac:dyDescent="0.25">
      <c r="A88" s="1" t="s">
        <v>27</v>
      </c>
      <c r="B88" s="3">
        <v>2021</v>
      </c>
      <c r="C88" s="1">
        <v>2558360057</v>
      </c>
      <c r="D88" s="1">
        <v>1443852444</v>
      </c>
      <c r="E88" s="1">
        <v>16718583</v>
      </c>
      <c r="F88" s="1">
        <v>421536054</v>
      </c>
      <c r="G88" s="1">
        <v>58096897</v>
      </c>
      <c r="H88" s="1">
        <v>0.43559999999999999</v>
      </c>
      <c r="I88" s="1">
        <v>0.56440000000000001</v>
      </c>
      <c r="J88" s="1">
        <v>6.4999999999999997E-3</v>
      </c>
      <c r="K88" s="1">
        <v>7.2552000000000003</v>
      </c>
      <c r="L88" s="1">
        <v>9.4962105612494696</v>
      </c>
      <c r="M88" s="1">
        <v>7.2808219178082192</v>
      </c>
    </row>
    <row r="89" spans="1:13" x14ac:dyDescent="0.25">
      <c r="A89" s="1" t="s">
        <v>27</v>
      </c>
      <c r="B89" s="3">
        <v>2022</v>
      </c>
      <c r="C89" s="1">
        <v>3285913000</v>
      </c>
      <c r="D89" s="1">
        <v>1312003000</v>
      </c>
      <c r="E89" s="1">
        <v>20516000</v>
      </c>
      <c r="F89" s="1">
        <v>1026838000</v>
      </c>
      <c r="G89" s="1">
        <v>114683000</v>
      </c>
      <c r="H89" s="1">
        <v>0.60070000000000001</v>
      </c>
      <c r="I89" s="1">
        <v>0.39929999999999999</v>
      </c>
      <c r="J89" s="1">
        <v>6.1999999999999998E-3</v>
      </c>
      <c r="K89" s="1">
        <v>8.9535</v>
      </c>
      <c r="L89" s="1">
        <v>19.873859964665549</v>
      </c>
      <c r="M89" s="1">
        <v>11.991095890410961</v>
      </c>
    </row>
    <row r="90" spans="1:13" x14ac:dyDescent="0.25">
      <c r="A90" s="1" t="s">
        <v>27</v>
      </c>
      <c r="B90" s="3">
        <v>2023</v>
      </c>
      <c r="C90" s="1">
        <v>4899692000</v>
      </c>
      <c r="D90" s="1">
        <v>2047933000</v>
      </c>
      <c r="E90" s="1">
        <v>27441000</v>
      </c>
      <c r="F90" s="1">
        <v>1450295000</v>
      </c>
      <c r="G90" s="1">
        <v>225995000</v>
      </c>
      <c r="H90" s="1">
        <v>0.58199999999999996</v>
      </c>
      <c r="I90" s="1">
        <v>0.41799999999999998</v>
      </c>
      <c r="J90" s="1">
        <v>5.5999999999999999E-3</v>
      </c>
      <c r="K90" s="1">
        <v>6.4169999999999998</v>
      </c>
      <c r="L90" s="1">
        <v>30.76812806570052</v>
      </c>
      <c r="M90" s="1">
        <v>20.613698630136991</v>
      </c>
    </row>
    <row r="91" spans="1:13" x14ac:dyDescent="0.25">
      <c r="A91" s="1" t="s">
        <v>27</v>
      </c>
      <c r="B91" s="3">
        <v>2024</v>
      </c>
      <c r="C91" s="1">
        <v>5845443000</v>
      </c>
      <c r="D91" s="1">
        <v>3438553000</v>
      </c>
      <c r="E91" s="1">
        <v>48964000</v>
      </c>
      <c r="F91" s="1">
        <v>832359000</v>
      </c>
      <c r="G91" s="1">
        <v>282540000</v>
      </c>
      <c r="H91" s="1">
        <v>0.4118</v>
      </c>
      <c r="I91" s="1">
        <v>0.58819999999999995</v>
      </c>
      <c r="J91" s="1">
        <v>8.3999999999999995E-3</v>
      </c>
      <c r="K91" s="1">
        <v>2.9460000000000002</v>
      </c>
      <c r="L91" s="1">
        <v>12.63253185304518</v>
      </c>
      <c r="M91" s="1">
        <v>18.961748633879779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9B31-40E8-409F-80EC-922DFFEA81B0}">
  <dimension ref="A1:J91"/>
  <sheetViews>
    <sheetView workbookViewId="0">
      <selection activeCell="H6" sqref="H6"/>
    </sheetView>
  </sheetViews>
  <sheetFormatPr defaultRowHeight="15" x14ac:dyDescent="0.25"/>
  <cols>
    <col min="1" max="1" width="39.28515625" bestFit="1" customWidth="1"/>
    <col min="2" max="2" width="9.42578125" bestFit="1" customWidth="1"/>
    <col min="3" max="4" width="13.140625" style="4" bestFit="1" customWidth="1"/>
    <col min="5" max="5" width="15.42578125" style="4" bestFit="1" customWidth="1"/>
    <col min="6" max="6" width="9.42578125" bestFit="1" customWidth="1"/>
    <col min="7" max="7" width="14.5703125" bestFit="1" customWidth="1"/>
    <col min="8" max="8" width="12.5703125" bestFit="1" customWidth="1"/>
    <col min="9" max="9" width="12" bestFit="1" customWidth="1"/>
    <col min="10" max="10" width="13.2851562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</row>
    <row r="2" spans="1:10" x14ac:dyDescent="0.25">
      <c r="A2" s="1" t="s">
        <v>13</v>
      </c>
      <c r="B2" s="3">
        <v>2019</v>
      </c>
      <c r="C2" s="2">
        <v>1987552095</v>
      </c>
      <c r="D2" s="2">
        <v>1553138999</v>
      </c>
      <c r="E2" s="2">
        <v>25943230</v>
      </c>
      <c r="F2" s="1">
        <v>0.21859999999999999</v>
      </c>
      <c r="G2" s="1">
        <v>0.78139999999999998</v>
      </c>
      <c r="H2" s="1">
        <v>1.3100000000000001E-2</v>
      </c>
      <c r="I2" s="1">
        <v>10.578361800455481</v>
      </c>
      <c r="J2" s="1">
        <v>11.990410958904111</v>
      </c>
    </row>
    <row r="3" spans="1:10" x14ac:dyDescent="0.25">
      <c r="A3" s="1" t="s">
        <v>14</v>
      </c>
      <c r="B3" s="3">
        <v>2019</v>
      </c>
      <c r="C3" s="2">
        <v>48718781000</v>
      </c>
      <c r="D3" s="2">
        <v>26490454000</v>
      </c>
      <c r="E3" s="2">
        <v>2365195000</v>
      </c>
      <c r="F3" s="1">
        <v>0.45629999999999998</v>
      </c>
      <c r="G3" s="1">
        <v>0.54379999999999995</v>
      </c>
      <c r="H3" s="1">
        <v>4.8500000000000001E-2</v>
      </c>
      <c r="I3" s="1">
        <v>10.578361800455481</v>
      </c>
      <c r="J3" s="1">
        <v>11.990410958904111</v>
      </c>
    </row>
    <row r="4" spans="1:10" x14ac:dyDescent="0.25">
      <c r="A4" s="1" t="s">
        <v>15</v>
      </c>
      <c r="B4" s="3">
        <v>2019</v>
      </c>
      <c r="C4" s="2">
        <v>38857336000</v>
      </c>
      <c r="D4" s="2">
        <v>33687049000</v>
      </c>
      <c r="E4" s="2">
        <v>1091329000</v>
      </c>
      <c r="F4" s="1">
        <v>0.1331</v>
      </c>
      <c r="G4" s="1">
        <v>0.86699999999999999</v>
      </c>
      <c r="H4" s="1">
        <v>2.81E-2</v>
      </c>
      <c r="I4" s="1">
        <v>10.578361800455481</v>
      </c>
      <c r="J4" s="1">
        <v>11.990410958904111</v>
      </c>
    </row>
    <row r="5" spans="1:10" x14ac:dyDescent="0.25">
      <c r="A5" s="1" t="s">
        <v>16</v>
      </c>
      <c r="B5" s="3">
        <v>2019</v>
      </c>
      <c r="C5" s="2">
        <v>115962473000</v>
      </c>
      <c r="D5" s="2">
        <v>82613501000</v>
      </c>
      <c r="E5" s="2">
        <v>5058655000</v>
      </c>
      <c r="F5" s="1">
        <v>0.28760000000000002</v>
      </c>
      <c r="G5" s="1">
        <v>0.71240000000000003</v>
      </c>
      <c r="H5" s="1">
        <v>4.36E-2</v>
      </c>
      <c r="I5" s="1">
        <v>10.578361800455481</v>
      </c>
      <c r="J5" s="1">
        <v>11.990410958904111</v>
      </c>
    </row>
    <row r="6" spans="1:10" x14ac:dyDescent="0.25">
      <c r="A6" s="1" t="s">
        <v>17</v>
      </c>
      <c r="B6" s="3">
        <v>2019</v>
      </c>
      <c r="C6" s="2">
        <v>16602206000</v>
      </c>
      <c r="D6" s="2">
        <v>11283038000</v>
      </c>
      <c r="E6" s="2">
        <v>896967000</v>
      </c>
      <c r="F6" s="1">
        <v>0.32040000000000002</v>
      </c>
      <c r="G6" s="1">
        <v>0.67959999999999998</v>
      </c>
      <c r="H6" s="1">
        <v>5.3999999999999999E-2</v>
      </c>
      <c r="I6" s="1">
        <v>10.578361800455481</v>
      </c>
      <c r="J6" s="1">
        <v>11.990410958904111</v>
      </c>
    </row>
    <row r="7" spans="1:10" x14ac:dyDescent="0.25">
      <c r="A7" s="1" t="s">
        <v>18</v>
      </c>
      <c r="B7" s="3">
        <v>2019</v>
      </c>
      <c r="C7" s="2">
        <v>7704097000</v>
      </c>
      <c r="D7" s="2">
        <v>6172758000</v>
      </c>
      <c r="E7" s="2">
        <v>93535000</v>
      </c>
      <c r="F7" s="1">
        <v>0.1988</v>
      </c>
      <c r="G7" s="1">
        <v>0.80120000000000002</v>
      </c>
      <c r="H7" s="1">
        <v>1.21E-2</v>
      </c>
      <c r="I7" s="1">
        <v>10.578361800455481</v>
      </c>
      <c r="J7" s="1">
        <v>11.990410958904111</v>
      </c>
    </row>
    <row r="8" spans="1:10" x14ac:dyDescent="0.25">
      <c r="A8" s="1" t="s">
        <v>19</v>
      </c>
      <c r="B8" s="3">
        <v>2019</v>
      </c>
      <c r="C8" s="2">
        <v>13291424000</v>
      </c>
      <c r="D8" s="2">
        <v>7861105000</v>
      </c>
      <c r="E8" s="2">
        <v>873163000</v>
      </c>
      <c r="F8" s="1">
        <v>0.40860000000000002</v>
      </c>
      <c r="G8" s="1">
        <v>0.59140000000000004</v>
      </c>
      <c r="H8" s="1">
        <v>6.5699999999999995E-2</v>
      </c>
      <c r="I8" s="1">
        <v>10.578361800455481</v>
      </c>
      <c r="J8" s="1">
        <v>11.990410958904111</v>
      </c>
    </row>
    <row r="9" spans="1:10" x14ac:dyDescent="0.25">
      <c r="A9" s="1" t="s">
        <v>20</v>
      </c>
      <c r="B9" s="3">
        <v>2019</v>
      </c>
      <c r="C9" s="2">
        <v>5744872328</v>
      </c>
      <c r="D9" s="2">
        <v>6423699048</v>
      </c>
      <c r="E9" s="2">
        <v>780492580</v>
      </c>
      <c r="F9" s="1">
        <v>-0.1182</v>
      </c>
      <c r="G9" s="1">
        <v>1.1182000000000001</v>
      </c>
      <c r="H9" s="1">
        <v>0.13589999999999999</v>
      </c>
      <c r="I9" s="1">
        <v>10.578361800455481</v>
      </c>
      <c r="J9" s="1">
        <v>11.990410958904111</v>
      </c>
    </row>
    <row r="10" spans="1:10" x14ac:dyDescent="0.25">
      <c r="A10" s="1" t="s">
        <v>21</v>
      </c>
      <c r="B10" s="3">
        <v>2019</v>
      </c>
      <c r="C10" s="2">
        <v>30090888452</v>
      </c>
      <c r="D10" s="2">
        <v>23736870313</v>
      </c>
      <c r="E10" s="2">
        <v>993764195</v>
      </c>
      <c r="F10" s="1">
        <v>0.21110000000000001</v>
      </c>
      <c r="G10" s="1">
        <v>0.79</v>
      </c>
      <c r="H10" s="1">
        <v>3.3000000000000002E-2</v>
      </c>
      <c r="I10" s="1">
        <v>10.578361800455481</v>
      </c>
      <c r="J10" s="1">
        <v>11.990410958904111</v>
      </c>
    </row>
    <row r="11" spans="1:10" x14ac:dyDescent="0.25">
      <c r="A11" s="1" t="s">
        <v>22</v>
      </c>
      <c r="B11" s="3">
        <v>2019</v>
      </c>
      <c r="C11" s="2">
        <v>1778794872</v>
      </c>
      <c r="D11" s="2">
        <v>1222057829</v>
      </c>
      <c r="E11" s="2">
        <v>116755409</v>
      </c>
      <c r="F11" s="1">
        <v>0.31309999999999999</v>
      </c>
      <c r="G11" s="1">
        <v>0.68700000000000006</v>
      </c>
      <c r="H11" s="1">
        <v>6.5600000000000006E-2</v>
      </c>
      <c r="I11" s="1">
        <v>10.578361800455481</v>
      </c>
      <c r="J11" s="1">
        <v>11.990410958904111</v>
      </c>
    </row>
    <row r="12" spans="1:10" x14ac:dyDescent="0.25">
      <c r="A12" s="1" t="s">
        <v>23</v>
      </c>
      <c r="B12" s="3">
        <v>2019</v>
      </c>
      <c r="C12" s="2">
        <v>14097237284</v>
      </c>
      <c r="D12" s="2">
        <v>12820034063</v>
      </c>
      <c r="E12" s="2">
        <v>61393549</v>
      </c>
      <c r="F12" s="1">
        <v>9.06E-2</v>
      </c>
      <c r="G12" s="1">
        <v>0.90939999999999999</v>
      </c>
      <c r="H12" s="1">
        <v>4.4000000000000003E-3</v>
      </c>
      <c r="I12" s="1">
        <v>10.578361800455481</v>
      </c>
      <c r="J12" s="1">
        <v>11.990410958904111</v>
      </c>
    </row>
    <row r="13" spans="1:10" x14ac:dyDescent="0.25">
      <c r="A13" s="1" t="s">
        <v>24</v>
      </c>
      <c r="B13" s="3">
        <v>2019</v>
      </c>
      <c r="C13" s="2">
        <v>2419329000</v>
      </c>
      <c r="D13" s="2">
        <v>1706308000</v>
      </c>
      <c r="E13" s="2">
        <v>149391000</v>
      </c>
      <c r="F13" s="1">
        <v>0.29470000000000002</v>
      </c>
      <c r="G13" s="1">
        <v>0.70530000000000004</v>
      </c>
      <c r="H13" s="1">
        <v>6.1800000000000001E-2</v>
      </c>
      <c r="I13" s="1">
        <v>10.578361800455481</v>
      </c>
      <c r="J13" s="1">
        <v>11.990410958904111</v>
      </c>
    </row>
    <row r="14" spans="1:10" x14ac:dyDescent="0.25">
      <c r="A14" s="1" t="s">
        <v>25</v>
      </c>
      <c r="B14" s="3">
        <v>2019</v>
      </c>
      <c r="C14" s="1">
        <v>1962721000</v>
      </c>
      <c r="D14" s="1">
        <v>1310766000</v>
      </c>
      <c r="E14" s="1">
        <v>217889000</v>
      </c>
      <c r="F14" s="1">
        <v>0.3322</v>
      </c>
      <c r="G14" s="1">
        <v>0.66779999999999995</v>
      </c>
      <c r="H14" s="1">
        <v>0.111</v>
      </c>
      <c r="I14" s="1">
        <v>10.578361800455481</v>
      </c>
      <c r="J14" s="1">
        <v>11.990410958904111</v>
      </c>
    </row>
    <row r="15" spans="1:10" x14ac:dyDescent="0.25">
      <c r="A15" s="1" t="s">
        <v>26</v>
      </c>
      <c r="B15" s="3">
        <v>2019</v>
      </c>
      <c r="C15" s="1">
        <v>2568870049</v>
      </c>
      <c r="D15" s="1">
        <v>1880389030</v>
      </c>
      <c r="E15" s="1">
        <v>15350256</v>
      </c>
      <c r="F15" s="1">
        <v>0.26790000000000003</v>
      </c>
      <c r="G15" s="1">
        <v>0.73199999999999998</v>
      </c>
      <c r="H15" s="1">
        <v>6.0000000000000001E-3</v>
      </c>
      <c r="I15" s="1">
        <v>10.578361800455481</v>
      </c>
      <c r="J15" s="1">
        <v>11.990410958904111</v>
      </c>
    </row>
    <row r="16" spans="1:10" x14ac:dyDescent="0.25">
      <c r="A16" s="1" t="s">
        <v>27</v>
      </c>
      <c r="B16" s="3">
        <v>2019</v>
      </c>
      <c r="C16" s="1">
        <v>1513288448</v>
      </c>
      <c r="D16" s="1">
        <v>722395311</v>
      </c>
      <c r="E16" s="1">
        <v>13766748</v>
      </c>
      <c r="F16" s="1">
        <v>0.52259999999999995</v>
      </c>
      <c r="G16" s="1">
        <v>0.47739999999999999</v>
      </c>
      <c r="H16" s="1">
        <v>9.1000000000000004E-3</v>
      </c>
      <c r="I16" s="1">
        <v>10.578361800455481</v>
      </c>
      <c r="J16" s="1">
        <v>11.990410958904111</v>
      </c>
    </row>
    <row r="17" spans="1:10" x14ac:dyDescent="0.25">
      <c r="A17" s="1" t="s">
        <v>13</v>
      </c>
      <c r="B17" s="3">
        <v>2020</v>
      </c>
      <c r="C17" s="2">
        <v>2112492576</v>
      </c>
      <c r="D17" s="2">
        <v>1670069764</v>
      </c>
      <c r="E17" s="2">
        <v>12995746</v>
      </c>
      <c r="F17" s="1">
        <v>0.2094</v>
      </c>
      <c r="G17" s="1">
        <v>0.79059999999999997</v>
      </c>
      <c r="H17" s="1">
        <v>6.1999999999999998E-3</v>
      </c>
      <c r="I17" s="1">
        <v>9.7399931389815464</v>
      </c>
      <c r="J17" s="1">
        <v>8.9364754098360653</v>
      </c>
    </row>
    <row r="18" spans="1:10" x14ac:dyDescent="0.25">
      <c r="A18" s="1" t="s">
        <v>14</v>
      </c>
      <c r="B18" s="3">
        <v>2020</v>
      </c>
      <c r="C18" s="2">
        <v>43530322000</v>
      </c>
      <c r="D18" s="2">
        <v>30912914000</v>
      </c>
      <c r="E18" s="2">
        <v>2278060000</v>
      </c>
      <c r="F18" s="1">
        <v>0.28989999999999999</v>
      </c>
      <c r="G18" s="1">
        <v>0.71009999999999995</v>
      </c>
      <c r="H18" s="1">
        <v>5.2299999999999999E-2</v>
      </c>
      <c r="I18" s="1">
        <v>9.7399931389815464</v>
      </c>
      <c r="J18" s="1">
        <v>8.9364754098360653</v>
      </c>
    </row>
    <row r="19" spans="1:10" x14ac:dyDescent="0.25">
      <c r="A19" s="1" t="s">
        <v>15</v>
      </c>
      <c r="B19" s="3">
        <v>2020</v>
      </c>
      <c r="C19" s="2">
        <v>44155023000</v>
      </c>
      <c r="D19" s="2">
        <v>38202175000</v>
      </c>
      <c r="E19" s="2">
        <v>1186196000</v>
      </c>
      <c r="F19" s="1">
        <v>0.1348</v>
      </c>
      <c r="G19" s="1">
        <v>0.86509999999999998</v>
      </c>
      <c r="H19" s="1">
        <v>2.69E-2</v>
      </c>
      <c r="I19" s="1">
        <v>9.7399931389815464</v>
      </c>
      <c r="J19" s="1">
        <v>8.9364754098360653</v>
      </c>
    </row>
    <row r="20" spans="1:10" x14ac:dyDescent="0.25">
      <c r="A20" s="1" t="s">
        <v>16</v>
      </c>
      <c r="B20" s="3">
        <v>2020</v>
      </c>
      <c r="C20" s="2">
        <v>118781274000</v>
      </c>
      <c r="D20" s="2">
        <v>84016549000</v>
      </c>
      <c r="E20" s="2">
        <v>5054207000</v>
      </c>
      <c r="F20" s="1">
        <v>0.29270000000000002</v>
      </c>
      <c r="G20" s="1">
        <v>0.70740000000000003</v>
      </c>
      <c r="H20" s="1">
        <v>4.2599999999999999E-2</v>
      </c>
      <c r="I20" s="1">
        <v>9.7399931389815464</v>
      </c>
      <c r="J20" s="1">
        <v>8.9364754098360653</v>
      </c>
    </row>
    <row r="21" spans="1:10" x14ac:dyDescent="0.25">
      <c r="A21" s="1" t="s">
        <v>17</v>
      </c>
      <c r="B21" s="3">
        <v>2020</v>
      </c>
      <c r="C21" s="2">
        <v>19258717000</v>
      </c>
      <c r="D21" s="2">
        <v>13150298000</v>
      </c>
      <c r="E21" s="2">
        <v>1124242000</v>
      </c>
      <c r="F21" s="1">
        <v>0.31719999999999998</v>
      </c>
      <c r="G21" s="1">
        <v>0.68279999999999996</v>
      </c>
      <c r="H21" s="1">
        <v>5.8400000000000001E-2</v>
      </c>
      <c r="I21" s="1">
        <v>9.7399931389815464</v>
      </c>
      <c r="J21" s="1">
        <v>8.9364754098360653</v>
      </c>
    </row>
    <row r="22" spans="1:10" x14ac:dyDescent="0.25">
      <c r="A22" s="1" t="s">
        <v>18</v>
      </c>
      <c r="B22" s="3">
        <v>2020</v>
      </c>
      <c r="C22" s="2">
        <v>7313042000</v>
      </c>
      <c r="D22" s="2">
        <v>6213833000</v>
      </c>
      <c r="E22" s="2">
        <v>21475000</v>
      </c>
      <c r="F22" s="1">
        <v>0.15029999999999999</v>
      </c>
      <c r="G22" s="1">
        <v>0.84970000000000001</v>
      </c>
      <c r="H22" s="1">
        <v>2.8999999999999998E-3</v>
      </c>
      <c r="I22" s="1">
        <v>9.7399931389815464</v>
      </c>
      <c r="J22" s="1">
        <v>8.9364754098360653</v>
      </c>
    </row>
    <row r="23" spans="1:10" x14ac:dyDescent="0.25">
      <c r="A23" s="1" t="s">
        <v>19</v>
      </c>
      <c r="B23" s="3">
        <v>2020</v>
      </c>
      <c r="C23" s="2">
        <v>15572747000</v>
      </c>
      <c r="D23" s="2">
        <v>8894178000</v>
      </c>
      <c r="E23" s="2">
        <v>794460000</v>
      </c>
      <c r="F23" s="1">
        <v>0.4289</v>
      </c>
      <c r="G23" s="1">
        <v>0.57110000000000005</v>
      </c>
      <c r="H23" s="1">
        <v>5.0999999999999997E-2</v>
      </c>
      <c r="I23" s="1">
        <v>9.7399931389815464</v>
      </c>
      <c r="J23" s="1">
        <v>8.9364754098360653</v>
      </c>
    </row>
    <row r="24" spans="1:10" x14ac:dyDescent="0.25">
      <c r="A24" s="1" t="s">
        <v>20</v>
      </c>
      <c r="B24" s="3">
        <v>2020</v>
      </c>
      <c r="C24" s="2">
        <v>7373162067</v>
      </c>
      <c r="D24" s="2">
        <v>7310900013</v>
      </c>
      <c r="E24" s="2">
        <v>465283240</v>
      </c>
      <c r="F24" s="1">
        <v>8.3999999999999995E-3</v>
      </c>
      <c r="G24" s="1">
        <v>0.99160000000000004</v>
      </c>
      <c r="H24" s="1">
        <v>6.3100000000000003E-2</v>
      </c>
      <c r="I24" s="1">
        <v>9.7399931389815464</v>
      </c>
      <c r="J24" s="1">
        <v>8.9364754098360653</v>
      </c>
    </row>
    <row r="25" spans="1:10" x14ac:dyDescent="0.25">
      <c r="A25" s="1" t="s">
        <v>21</v>
      </c>
      <c r="B25" s="3">
        <v>2020</v>
      </c>
      <c r="C25" s="2">
        <v>33424762422</v>
      </c>
      <c r="D25" s="2">
        <v>26592382801</v>
      </c>
      <c r="E25" s="2">
        <v>1387963803</v>
      </c>
      <c r="F25" s="1">
        <v>0.2044</v>
      </c>
      <c r="G25" s="1">
        <v>0.79559999999999997</v>
      </c>
      <c r="H25" s="1">
        <v>4.1500000000000002E-2</v>
      </c>
      <c r="I25" s="1">
        <v>9.7399931389815464</v>
      </c>
      <c r="J25" s="1">
        <v>8.9364754098360653</v>
      </c>
    </row>
    <row r="26" spans="1:10" x14ac:dyDescent="0.25">
      <c r="A26" s="1" t="s">
        <v>22</v>
      </c>
      <c r="B26" s="3">
        <v>2020</v>
      </c>
      <c r="C26" s="2">
        <v>1708620654</v>
      </c>
      <c r="D26" s="2">
        <v>1292601578</v>
      </c>
      <c r="E26" s="2">
        <v>57409241</v>
      </c>
      <c r="F26" s="1">
        <v>0.24349999999999999</v>
      </c>
      <c r="G26" s="1">
        <v>0.75649999999999995</v>
      </c>
      <c r="H26" s="1">
        <v>3.3599999999999998E-2</v>
      </c>
      <c r="I26" s="1">
        <v>9.7399931389815464</v>
      </c>
      <c r="J26" s="1">
        <v>8.9364754098360653</v>
      </c>
    </row>
    <row r="27" spans="1:10" x14ac:dyDescent="0.25">
      <c r="A27" s="1" t="s">
        <v>23</v>
      </c>
      <c r="B27" s="3">
        <v>2020</v>
      </c>
      <c r="C27" s="2">
        <v>29872020642</v>
      </c>
      <c r="D27" s="2">
        <v>27842732989</v>
      </c>
      <c r="E27" s="2">
        <v>50415746</v>
      </c>
      <c r="F27" s="1">
        <v>6.7900000000000002E-2</v>
      </c>
      <c r="G27" s="1">
        <v>0.93189999999999995</v>
      </c>
      <c r="H27" s="1">
        <v>1.6999999999999999E-3</v>
      </c>
      <c r="I27" s="1">
        <v>9.7399931389815464</v>
      </c>
      <c r="J27" s="1">
        <v>8.9364754098360653</v>
      </c>
    </row>
    <row r="28" spans="1:10" x14ac:dyDescent="0.25">
      <c r="A28" s="1" t="s">
        <v>24</v>
      </c>
      <c r="B28" s="3">
        <v>2020</v>
      </c>
      <c r="C28" s="2">
        <v>2443461000</v>
      </c>
      <c r="D28" s="2">
        <v>1843796000</v>
      </c>
      <c r="E28" s="2">
        <v>64176000</v>
      </c>
      <c r="F28" s="1">
        <v>0.24540000000000001</v>
      </c>
      <c r="G28" s="1">
        <v>0.75460000000000005</v>
      </c>
      <c r="H28" s="1">
        <v>2.63E-2</v>
      </c>
      <c r="I28" s="1">
        <v>9.7399931389815464</v>
      </c>
      <c r="J28" s="1">
        <v>8.9364754098360653</v>
      </c>
    </row>
    <row r="29" spans="1:10" x14ac:dyDescent="0.25">
      <c r="A29" s="1" t="s">
        <v>25</v>
      </c>
      <c r="B29" s="3">
        <v>2020</v>
      </c>
      <c r="C29" s="1">
        <v>1971294000</v>
      </c>
      <c r="D29" s="1">
        <v>1313194000</v>
      </c>
      <c r="E29" s="1">
        <v>129505000</v>
      </c>
      <c r="F29" s="1">
        <v>0.33379999999999999</v>
      </c>
      <c r="G29" s="1">
        <v>0.66620000000000001</v>
      </c>
      <c r="H29" s="1">
        <v>6.5699999999999995E-2</v>
      </c>
      <c r="I29" s="1">
        <v>9.7399931389815464</v>
      </c>
      <c r="J29" s="1">
        <v>8.9364754098360653</v>
      </c>
    </row>
    <row r="30" spans="1:10" x14ac:dyDescent="0.25">
      <c r="A30" s="1" t="s">
        <v>26</v>
      </c>
      <c r="B30" s="3">
        <v>2020</v>
      </c>
      <c r="C30" s="1">
        <v>2791857589</v>
      </c>
      <c r="D30" s="1">
        <v>2025108694</v>
      </c>
      <c r="E30" s="1">
        <v>15428432</v>
      </c>
      <c r="F30" s="1">
        <v>0.27460000000000001</v>
      </c>
      <c r="G30" s="1">
        <v>0.72540000000000004</v>
      </c>
      <c r="H30" s="1">
        <v>5.4999999999999997E-3</v>
      </c>
      <c r="I30" s="1">
        <v>9.7399931389815464</v>
      </c>
      <c r="J30" s="1">
        <v>8.9364754098360653</v>
      </c>
    </row>
    <row r="31" spans="1:10" x14ac:dyDescent="0.25">
      <c r="A31" s="1" t="s">
        <v>27</v>
      </c>
      <c r="B31" s="3">
        <v>2020</v>
      </c>
      <c r="C31" s="1">
        <v>1811537025</v>
      </c>
      <c r="D31" s="1">
        <v>1011403941</v>
      </c>
      <c r="E31" s="1">
        <v>14829295</v>
      </c>
      <c r="F31" s="1">
        <v>0.44169999999999998</v>
      </c>
      <c r="G31" s="1">
        <v>0.55830000000000002</v>
      </c>
      <c r="H31" s="1">
        <v>8.2000000000000007E-3</v>
      </c>
      <c r="I31" s="1">
        <v>9.7399931389815464</v>
      </c>
      <c r="J31" s="1">
        <v>8.9364754098360653</v>
      </c>
    </row>
    <row r="32" spans="1:10" x14ac:dyDescent="0.25">
      <c r="A32" s="1" t="s">
        <v>13</v>
      </c>
      <c r="B32" s="3">
        <v>2021</v>
      </c>
      <c r="C32" s="2">
        <v>2210620000</v>
      </c>
      <c r="D32" s="2">
        <v>1721280000</v>
      </c>
      <c r="E32" s="2">
        <v>24019000</v>
      </c>
      <c r="F32" s="1">
        <v>0.22140000000000001</v>
      </c>
      <c r="G32" s="1">
        <v>0.77859999999999996</v>
      </c>
      <c r="H32" s="1">
        <v>1.09E-2</v>
      </c>
      <c r="I32" s="1">
        <v>9.4962105612494696</v>
      </c>
      <c r="J32" s="1">
        <v>7.2808219178082192</v>
      </c>
    </row>
    <row r="33" spans="1:10" x14ac:dyDescent="0.25">
      <c r="A33" s="1" t="s">
        <v>14</v>
      </c>
      <c r="B33" s="3">
        <v>2021</v>
      </c>
      <c r="C33" s="2">
        <v>67567680000</v>
      </c>
      <c r="D33" s="2">
        <v>35715642000</v>
      </c>
      <c r="E33" s="2">
        <v>2821256000</v>
      </c>
      <c r="F33" s="1">
        <v>0.47139999999999999</v>
      </c>
      <c r="G33" s="1">
        <v>0.52859999999999996</v>
      </c>
      <c r="H33" s="1">
        <v>4.1799999999999997E-2</v>
      </c>
      <c r="I33" s="1">
        <v>9.4962105612494696</v>
      </c>
      <c r="J33" s="1">
        <v>7.2808219178082192</v>
      </c>
    </row>
    <row r="34" spans="1:10" x14ac:dyDescent="0.25">
      <c r="A34" s="1" t="s">
        <v>15</v>
      </c>
      <c r="B34" s="3">
        <v>2021</v>
      </c>
      <c r="C34" s="2">
        <v>52094197000</v>
      </c>
      <c r="D34" s="2">
        <v>43256759000</v>
      </c>
      <c r="E34" s="2">
        <v>1636401000</v>
      </c>
      <c r="F34" s="1">
        <v>0.16969999999999999</v>
      </c>
      <c r="G34" s="1">
        <v>0.83040000000000003</v>
      </c>
      <c r="H34" s="1">
        <v>3.1399999999999997E-2</v>
      </c>
      <c r="I34" s="1">
        <v>9.4962105612494696</v>
      </c>
      <c r="J34" s="1">
        <v>7.2808219178082192</v>
      </c>
    </row>
    <row r="35" spans="1:10" x14ac:dyDescent="0.25">
      <c r="A35" s="1" t="s">
        <v>16</v>
      </c>
      <c r="B35" s="3">
        <v>2021</v>
      </c>
      <c r="C35" s="2">
        <v>133295472000</v>
      </c>
      <c r="D35" s="2">
        <v>92803347000</v>
      </c>
      <c r="E35" s="2">
        <v>5051395000</v>
      </c>
      <c r="F35" s="1">
        <v>0.30403999999999998</v>
      </c>
      <c r="G35" s="1">
        <v>0.69618999999999998</v>
      </c>
      <c r="H35" s="1">
        <v>3.7900000000000003E-2</v>
      </c>
      <c r="I35" s="1">
        <v>9.4962105612494696</v>
      </c>
      <c r="J35" s="1">
        <v>7.2808219178082192</v>
      </c>
    </row>
    <row r="36" spans="1:10" x14ac:dyDescent="0.25">
      <c r="A36" s="1" t="s">
        <v>17</v>
      </c>
      <c r="B36" s="3">
        <v>2021</v>
      </c>
      <c r="C36" s="2">
        <v>34588433000</v>
      </c>
      <c r="D36" s="2">
        <v>24836018000</v>
      </c>
      <c r="E36" s="2">
        <v>1457949000</v>
      </c>
      <c r="F36" s="1">
        <v>0.28199999999999997</v>
      </c>
      <c r="G36" s="1">
        <v>0.71799999999999997</v>
      </c>
      <c r="H36" s="1">
        <v>4.2200000000000001E-2</v>
      </c>
      <c r="I36" s="1">
        <v>9.4962105612494696</v>
      </c>
      <c r="J36" s="1">
        <v>7.2808219178082192</v>
      </c>
    </row>
    <row r="37" spans="1:10" x14ac:dyDescent="0.25">
      <c r="A37" s="1" t="s">
        <v>18</v>
      </c>
      <c r="B37" s="3">
        <v>2021</v>
      </c>
      <c r="C37" s="2">
        <v>6584452000</v>
      </c>
      <c r="D37" s="2">
        <v>5186645000</v>
      </c>
      <c r="E37" s="2">
        <v>17938000</v>
      </c>
      <c r="F37" s="1">
        <v>0.21229999999999999</v>
      </c>
      <c r="G37" s="1">
        <v>0.78769999999999996</v>
      </c>
      <c r="H37" s="1">
        <v>2.7000000000000001E-3</v>
      </c>
      <c r="I37" s="1">
        <v>9.4962105612494696</v>
      </c>
      <c r="J37" s="1">
        <v>7.2808219178082192</v>
      </c>
    </row>
    <row r="38" spans="1:10" x14ac:dyDescent="0.25">
      <c r="A38" s="1" t="s">
        <v>19</v>
      </c>
      <c r="B38" s="3">
        <v>2021</v>
      </c>
      <c r="C38" s="2">
        <v>19820946000</v>
      </c>
      <c r="D38" s="2">
        <v>10904750000</v>
      </c>
      <c r="E38" s="2">
        <v>1323062000</v>
      </c>
      <c r="F38" s="1">
        <v>0.44990000000000002</v>
      </c>
      <c r="G38" s="1">
        <v>0.55020000000000002</v>
      </c>
      <c r="H38" s="1">
        <v>6.6799999999999998E-2</v>
      </c>
      <c r="I38" s="1">
        <v>9.4962105612494696</v>
      </c>
      <c r="J38" s="1">
        <v>7.2808219178082192</v>
      </c>
    </row>
    <row r="39" spans="1:10" x14ac:dyDescent="0.25">
      <c r="A39" s="1" t="s">
        <v>20</v>
      </c>
      <c r="B39" s="3">
        <v>2021</v>
      </c>
      <c r="C39" s="2">
        <v>8586396344</v>
      </c>
      <c r="D39" s="2">
        <v>7665360235</v>
      </c>
      <c r="E39" s="2">
        <v>553182762</v>
      </c>
      <c r="F39" s="1">
        <v>0.10730000000000001</v>
      </c>
      <c r="G39" s="1">
        <v>0.89270000000000005</v>
      </c>
      <c r="H39" s="1">
        <v>6.4399999999999999E-2</v>
      </c>
      <c r="I39" s="1">
        <v>9.4962105612494696</v>
      </c>
      <c r="J39" s="1">
        <v>7.2808219178082192</v>
      </c>
    </row>
    <row r="40" spans="1:10" x14ac:dyDescent="0.25">
      <c r="A40" s="1" t="s">
        <v>21</v>
      </c>
      <c r="B40" s="3">
        <v>2021</v>
      </c>
      <c r="C40" s="2">
        <v>37524840569</v>
      </c>
      <c r="D40" s="2">
        <v>30354451977</v>
      </c>
      <c r="E40" s="2">
        <v>184747427</v>
      </c>
      <c r="F40" s="1">
        <v>0.19109999999999999</v>
      </c>
      <c r="G40" s="1">
        <v>0.80889999999999995</v>
      </c>
      <c r="H40" s="1">
        <v>4.8999999999999998E-3</v>
      </c>
      <c r="I40" s="1">
        <v>9.4962105612494696</v>
      </c>
      <c r="J40" s="1">
        <v>7.2808219178082192</v>
      </c>
    </row>
    <row r="41" spans="1:10" x14ac:dyDescent="0.25">
      <c r="A41" s="1" t="s">
        <v>22</v>
      </c>
      <c r="B41" s="3">
        <v>2021</v>
      </c>
      <c r="C41" s="2">
        <v>2148550393</v>
      </c>
      <c r="D41" s="2">
        <v>1484717849</v>
      </c>
      <c r="E41" s="2">
        <v>64460957</v>
      </c>
      <c r="F41" s="1">
        <v>0.309</v>
      </c>
      <c r="G41" s="1">
        <v>0.69099999999999995</v>
      </c>
      <c r="H41" s="1">
        <v>0.03</v>
      </c>
      <c r="I41" s="1">
        <v>9.4962105612494696</v>
      </c>
      <c r="J41" s="1">
        <v>7.2808219178082192</v>
      </c>
    </row>
    <row r="42" spans="1:10" x14ac:dyDescent="0.25">
      <c r="A42" s="1" t="s">
        <v>23</v>
      </c>
      <c r="B42" s="3">
        <v>2021</v>
      </c>
      <c r="C42" s="2">
        <v>68831301040</v>
      </c>
      <c r="D42" s="2">
        <v>62180175227</v>
      </c>
      <c r="E42" s="2">
        <v>279989565</v>
      </c>
      <c r="F42" s="1">
        <v>9.6600000000000005E-2</v>
      </c>
      <c r="G42" s="1">
        <v>0.90339999999999998</v>
      </c>
      <c r="H42" s="1">
        <v>4.1000000000000003E-3</v>
      </c>
      <c r="I42" s="1">
        <v>9.4962105612494696</v>
      </c>
      <c r="J42" s="1">
        <v>7.2808219178082192</v>
      </c>
    </row>
    <row r="43" spans="1:10" x14ac:dyDescent="0.25">
      <c r="A43" s="1" t="s">
        <v>24</v>
      </c>
      <c r="B43" s="3">
        <v>2021</v>
      </c>
      <c r="C43" s="2">
        <v>2737550000</v>
      </c>
      <c r="D43" s="2">
        <v>2451352000</v>
      </c>
      <c r="E43" s="2">
        <v>68325000</v>
      </c>
      <c r="F43" s="1">
        <v>0.1045</v>
      </c>
      <c r="G43" s="1">
        <v>0.89549999999999996</v>
      </c>
      <c r="H43" s="1">
        <v>2.5000000000000001E-2</v>
      </c>
      <c r="I43" s="1">
        <v>9.4962105612494696</v>
      </c>
      <c r="J43" s="1">
        <v>7.2808219178082192</v>
      </c>
    </row>
    <row r="44" spans="1:10" x14ac:dyDescent="0.25">
      <c r="A44" s="1" t="s">
        <v>25</v>
      </c>
      <c r="B44" s="3">
        <v>2021</v>
      </c>
      <c r="C44" s="1">
        <v>2162727000</v>
      </c>
      <c r="D44" s="1">
        <v>1725063000</v>
      </c>
      <c r="E44" s="1">
        <v>166547000</v>
      </c>
      <c r="F44" s="1">
        <v>0.2024</v>
      </c>
      <c r="G44" s="1">
        <v>0.79759999999999998</v>
      </c>
      <c r="H44" s="1">
        <v>7.6899999999999996E-2</v>
      </c>
      <c r="I44" s="1">
        <v>9.4962105612494696</v>
      </c>
      <c r="J44" s="1">
        <v>7.2808219178082192</v>
      </c>
    </row>
    <row r="45" spans="1:10" x14ac:dyDescent="0.25">
      <c r="A45" s="1" t="s">
        <v>26</v>
      </c>
      <c r="B45" s="3">
        <v>2021</v>
      </c>
      <c r="C45" s="1">
        <v>3570045254</v>
      </c>
      <c r="D45" s="1">
        <v>2627641418</v>
      </c>
      <c r="E45" s="1">
        <v>38246026</v>
      </c>
      <c r="F45" s="1">
        <v>0.26400000000000001</v>
      </c>
      <c r="G45" s="1">
        <v>0.73599999999999999</v>
      </c>
      <c r="H45" s="1">
        <v>1.0699999999999999E-2</v>
      </c>
      <c r="I45" s="1">
        <v>9.4962105612494696</v>
      </c>
      <c r="J45" s="1">
        <v>7.2808219178082192</v>
      </c>
    </row>
    <row r="46" spans="1:10" x14ac:dyDescent="0.25">
      <c r="A46" s="1" t="s">
        <v>27</v>
      </c>
      <c r="B46" s="3">
        <v>2021</v>
      </c>
      <c r="C46" s="1">
        <v>2558360057</v>
      </c>
      <c r="D46" s="1">
        <v>1443852444</v>
      </c>
      <c r="E46" s="1">
        <v>16718583</v>
      </c>
      <c r="F46" s="1">
        <v>0.43559999999999999</v>
      </c>
      <c r="G46" s="1">
        <v>0.56440000000000001</v>
      </c>
      <c r="H46" s="1">
        <v>6.4999999999999997E-3</v>
      </c>
      <c r="I46" s="1">
        <v>9.4962105612494696</v>
      </c>
      <c r="J46" s="1">
        <v>7.2808219178082192</v>
      </c>
    </row>
    <row r="47" spans="1:10" x14ac:dyDescent="0.25">
      <c r="A47" s="1" t="s">
        <v>13</v>
      </c>
      <c r="B47" s="3">
        <v>2022</v>
      </c>
      <c r="C47" s="2">
        <v>2489291011</v>
      </c>
      <c r="D47" s="2">
        <v>2295470632</v>
      </c>
      <c r="E47" s="2">
        <v>179515917</v>
      </c>
      <c r="F47" s="1">
        <v>7.7899999999999997E-2</v>
      </c>
      <c r="G47" s="1">
        <v>0.92210000000000003</v>
      </c>
      <c r="H47" s="1">
        <v>7.2099999999999997E-2</v>
      </c>
      <c r="I47" s="1">
        <v>19.873859964665549</v>
      </c>
      <c r="J47" s="1">
        <v>11.991095890410961</v>
      </c>
    </row>
    <row r="48" spans="1:10" x14ac:dyDescent="0.25">
      <c r="A48" s="1" t="s">
        <v>14</v>
      </c>
      <c r="B48" s="3">
        <v>2022</v>
      </c>
      <c r="C48" s="2">
        <v>62330226000</v>
      </c>
      <c r="D48" s="2">
        <v>46288481000</v>
      </c>
      <c r="E48" s="2">
        <v>2632780000</v>
      </c>
      <c r="F48" s="1">
        <v>0.25740000000000002</v>
      </c>
      <c r="G48" s="1">
        <v>0.74270000000000003</v>
      </c>
      <c r="H48" s="1">
        <v>4.2200000000000001E-2</v>
      </c>
      <c r="I48" s="1">
        <v>19.873859964665549</v>
      </c>
      <c r="J48" s="1">
        <v>11.991095890410961</v>
      </c>
    </row>
    <row r="49" spans="1:10" x14ac:dyDescent="0.25">
      <c r="A49" s="1" t="s">
        <v>15</v>
      </c>
      <c r="B49" s="3">
        <v>2022</v>
      </c>
      <c r="C49" s="2">
        <v>73473687000</v>
      </c>
      <c r="D49" s="2">
        <v>61365299000</v>
      </c>
      <c r="E49" s="2">
        <v>2042050000</v>
      </c>
      <c r="F49" s="1">
        <v>0.1648</v>
      </c>
      <c r="G49" s="1">
        <v>0.83520000000000005</v>
      </c>
      <c r="H49" s="1">
        <v>2.7799999999999998E-2</v>
      </c>
      <c r="I49" s="1">
        <v>19.873859964665549</v>
      </c>
      <c r="J49" s="1">
        <v>11.991095890410961</v>
      </c>
    </row>
    <row r="50" spans="1:10" x14ac:dyDescent="0.25">
      <c r="A50" s="1" t="s">
        <v>16</v>
      </c>
      <c r="B50" s="3">
        <v>2022</v>
      </c>
      <c r="C50" s="2">
        <v>162516255000</v>
      </c>
      <c r="D50" s="2">
        <v>112886474000</v>
      </c>
      <c r="E50" s="2">
        <v>5829265000</v>
      </c>
      <c r="F50" s="1">
        <v>0.3054</v>
      </c>
      <c r="G50" s="1">
        <v>0.69469999999999998</v>
      </c>
      <c r="H50" s="1">
        <v>3.5900000000000001E-2</v>
      </c>
      <c r="I50" s="1">
        <v>19.873859964665549</v>
      </c>
      <c r="J50" s="1">
        <v>11.991095890410961</v>
      </c>
    </row>
    <row r="51" spans="1:10" x14ac:dyDescent="0.25">
      <c r="A51" s="1" t="s">
        <v>17</v>
      </c>
      <c r="B51" s="3">
        <v>2022</v>
      </c>
      <c r="C51" s="2">
        <v>45525608000</v>
      </c>
      <c r="D51" s="2">
        <v>32322189000</v>
      </c>
      <c r="E51" s="2">
        <v>2088031000</v>
      </c>
      <c r="F51" s="1">
        <v>0.28989999999999999</v>
      </c>
      <c r="G51" s="1">
        <v>0.71</v>
      </c>
      <c r="H51" s="1">
        <v>4.5900000000000003E-2</v>
      </c>
      <c r="I51" s="1">
        <v>19.873859964665549</v>
      </c>
      <c r="J51" s="1">
        <v>11.991095890410961</v>
      </c>
    </row>
    <row r="52" spans="1:10" x14ac:dyDescent="0.25">
      <c r="A52" s="1" t="s">
        <v>18</v>
      </c>
      <c r="B52" s="3">
        <v>2022</v>
      </c>
      <c r="C52" s="2">
        <v>8169271000</v>
      </c>
      <c r="D52" s="2">
        <v>6395873000</v>
      </c>
      <c r="E52" s="2">
        <v>31786000</v>
      </c>
      <c r="F52" s="1">
        <v>0.21709999999999999</v>
      </c>
      <c r="G52" s="1">
        <v>0.78300000000000003</v>
      </c>
      <c r="H52" s="1">
        <v>3.8999999999999998E-3</v>
      </c>
      <c r="I52" s="1">
        <v>19.873859964665549</v>
      </c>
      <c r="J52" s="1">
        <v>11.991095890410961</v>
      </c>
    </row>
    <row r="53" spans="1:10" x14ac:dyDescent="0.25">
      <c r="A53" s="1" t="s">
        <v>19</v>
      </c>
      <c r="B53" s="3">
        <v>2022</v>
      </c>
      <c r="C53" s="2">
        <v>28309317000</v>
      </c>
      <c r="D53" s="2">
        <v>16359841000</v>
      </c>
      <c r="E53" s="2">
        <v>1477565000</v>
      </c>
      <c r="F53" s="1">
        <v>0.42209999999999998</v>
      </c>
      <c r="G53" s="1">
        <v>0.57799999999999996</v>
      </c>
      <c r="H53" s="1">
        <v>5.2200000000000003E-2</v>
      </c>
      <c r="I53" s="1">
        <v>19.873859964665549</v>
      </c>
      <c r="J53" s="1">
        <v>11.991095890410961</v>
      </c>
    </row>
    <row r="54" spans="1:10" x14ac:dyDescent="0.25">
      <c r="A54" s="1" t="s">
        <v>20</v>
      </c>
      <c r="B54" s="3">
        <v>2022</v>
      </c>
      <c r="C54" s="2">
        <v>12350702418</v>
      </c>
      <c r="D54" s="2">
        <v>11380034184</v>
      </c>
      <c r="E54" s="2">
        <v>768783394</v>
      </c>
      <c r="F54" s="1">
        <v>7.8600000000000003E-2</v>
      </c>
      <c r="G54" s="1">
        <v>0.9214</v>
      </c>
      <c r="H54" s="1">
        <v>6.2199999999999998E-2</v>
      </c>
      <c r="I54" s="1">
        <v>19.873859964665549</v>
      </c>
      <c r="J54" s="1">
        <v>11.991095890410961</v>
      </c>
    </row>
    <row r="55" spans="1:10" x14ac:dyDescent="0.25">
      <c r="A55" s="1" t="s">
        <v>21</v>
      </c>
      <c r="B55" s="3">
        <v>2022</v>
      </c>
      <c r="C55" s="2">
        <v>55260699195</v>
      </c>
      <c r="D55" s="2">
        <v>45415201624</v>
      </c>
      <c r="E55" s="2">
        <v>637006776</v>
      </c>
      <c r="F55" s="1">
        <v>0.1782</v>
      </c>
      <c r="G55" s="1">
        <v>0.82179999999999997</v>
      </c>
      <c r="H55" s="1">
        <v>1.15E-2</v>
      </c>
      <c r="I55" s="1">
        <v>19.873859964665549</v>
      </c>
      <c r="J55" s="1">
        <v>11.991095890410961</v>
      </c>
    </row>
    <row r="56" spans="1:10" x14ac:dyDescent="0.25">
      <c r="A56" s="1" t="s">
        <v>22</v>
      </c>
      <c r="B56" s="3">
        <v>2022</v>
      </c>
      <c r="C56" s="2">
        <v>2662054711</v>
      </c>
      <c r="D56" s="2">
        <v>2023761461</v>
      </c>
      <c r="E56" s="2">
        <v>1314795044</v>
      </c>
      <c r="F56" s="1">
        <v>0.23980000000000001</v>
      </c>
      <c r="G56" s="1">
        <v>0.75990000000000002</v>
      </c>
      <c r="H56" s="1">
        <v>0.49390000000000001</v>
      </c>
      <c r="I56" s="1">
        <v>19.873859964665549</v>
      </c>
      <c r="J56" s="1">
        <v>11.991095890410961</v>
      </c>
    </row>
    <row r="57" spans="1:10" x14ac:dyDescent="0.25">
      <c r="A57" s="1" t="s">
        <v>23</v>
      </c>
      <c r="B57" s="3">
        <v>2022</v>
      </c>
      <c r="C57" s="2">
        <v>87713010270</v>
      </c>
      <c r="D57" s="2">
        <v>79475327120</v>
      </c>
      <c r="E57" s="2">
        <v>171241207</v>
      </c>
      <c r="F57" s="1">
        <v>9.3899999999999997E-2</v>
      </c>
      <c r="G57" s="1">
        <v>0.90610000000000002</v>
      </c>
      <c r="H57" s="1">
        <v>2E-3</v>
      </c>
      <c r="I57" s="1">
        <v>19.873859964665549</v>
      </c>
      <c r="J57" s="1">
        <v>11.991095890410961</v>
      </c>
    </row>
    <row r="58" spans="1:10" x14ac:dyDescent="0.25">
      <c r="A58" s="1" t="s">
        <v>24</v>
      </c>
      <c r="B58" s="3">
        <v>2022</v>
      </c>
      <c r="C58" s="2">
        <v>4061842000</v>
      </c>
      <c r="D58" s="2">
        <v>3314497000</v>
      </c>
      <c r="E58" s="2">
        <v>20477000</v>
      </c>
      <c r="F58" s="1">
        <v>0.184</v>
      </c>
      <c r="G58" s="1">
        <v>0.81599999999999995</v>
      </c>
      <c r="H58" s="1">
        <v>5.0000000000000001E-3</v>
      </c>
      <c r="I58" s="1">
        <v>19.873859964665549</v>
      </c>
      <c r="J58" s="1">
        <v>11.991095890410961</v>
      </c>
    </row>
    <row r="59" spans="1:10" x14ac:dyDescent="0.25">
      <c r="A59" s="1" t="s">
        <v>25</v>
      </c>
      <c r="B59" s="3">
        <v>2022</v>
      </c>
      <c r="C59" s="1">
        <v>2453305000</v>
      </c>
      <c r="D59" s="1">
        <v>1834462000</v>
      </c>
      <c r="E59" s="1">
        <v>239971000</v>
      </c>
      <c r="F59" s="1">
        <v>0.25219999999999998</v>
      </c>
      <c r="G59" s="1">
        <v>0.74780000000000002</v>
      </c>
      <c r="H59" s="1">
        <v>9.7799999999999998E-2</v>
      </c>
      <c r="I59" s="1">
        <v>19.873859964665549</v>
      </c>
      <c r="J59" s="1">
        <v>11.991095890410961</v>
      </c>
    </row>
    <row r="60" spans="1:10" x14ac:dyDescent="0.25">
      <c r="A60" s="1" t="s">
        <v>26</v>
      </c>
      <c r="B60" s="3">
        <v>2022</v>
      </c>
      <c r="C60" s="1">
        <v>4468902597</v>
      </c>
      <c r="D60" s="1">
        <v>3478245931</v>
      </c>
      <c r="E60" s="1">
        <v>27571815</v>
      </c>
      <c r="F60" s="1">
        <v>0.22170000000000001</v>
      </c>
      <c r="G60" s="1">
        <v>0.77839999999999998</v>
      </c>
      <c r="H60" s="1">
        <v>6.1999999999999998E-3</v>
      </c>
      <c r="I60" s="1">
        <v>19.873859964665549</v>
      </c>
      <c r="J60" s="1">
        <v>11.991095890410961</v>
      </c>
    </row>
    <row r="61" spans="1:10" x14ac:dyDescent="0.25">
      <c r="A61" s="1" t="s">
        <v>27</v>
      </c>
      <c r="B61" s="3">
        <v>2022</v>
      </c>
      <c r="C61" s="1">
        <v>3285913000</v>
      </c>
      <c r="D61" s="1">
        <v>1312003000</v>
      </c>
      <c r="E61" s="1">
        <v>20516000</v>
      </c>
      <c r="F61" s="1">
        <v>0.60070000000000001</v>
      </c>
      <c r="G61" s="1">
        <v>0.39929999999999999</v>
      </c>
      <c r="H61" s="1">
        <v>6.1999999999999998E-3</v>
      </c>
      <c r="I61" s="1">
        <v>19.873859964665549</v>
      </c>
      <c r="J61" s="1">
        <v>11.991095890410961</v>
      </c>
    </row>
    <row r="62" spans="1:10" x14ac:dyDescent="0.25">
      <c r="A62" s="1" t="s">
        <v>13</v>
      </c>
      <c r="B62" s="3">
        <v>2023</v>
      </c>
      <c r="C62" s="2">
        <v>2724930890</v>
      </c>
      <c r="D62" s="2">
        <v>2076814684</v>
      </c>
      <c r="E62" s="2">
        <v>33416934</v>
      </c>
      <c r="F62" s="1">
        <v>0.2379</v>
      </c>
      <c r="G62" s="1">
        <v>0.76280000000000003</v>
      </c>
      <c r="H62" s="1">
        <v>1.23E-2</v>
      </c>
      <c r="I62" s="1">
        <v>30.76812806570052</v>
      </c>
      <c r="J62" s="1">
        <v>20.613698630136991</v>
      </c>
    </row>
    <row r="63" spans="1:10" x14ac:dyDescent="0.25">
      <c r="A63" s="1" t="s">
        <v>14</v>
      </c>
      <c r="B63" s="3">
        <v>2023</v>
      </c>
      <c r="C63" s="2">
        <v>91459504000</v>
      </c>
      <c r="D63" s="2">
        <v>65360062000</v>
      </c>
      <c r="E63" s="2">
        <v>3291302000</v>
      </c>
      <c r="F63" s="1">
        <v>0.28539999999999999</v>
      </c>
      <c r="G63" s="1">
        <v>0.71460000000000001</v>
      </c>
      <c r="H63" s="1">
        <v>3.5999999999999997E-2</v>
      </c>
      <c r="I63" s="1">
        <v>30.76812806570052</v>
      </c>
      <c r="J63" s="1">
        <v>20.613698630136991</v>
      </c>
    </row>
    <row r="64" spans="1:10" x14ac:dyDescent="0.25">
      <c r="A64" s="1" t="s">
        <v>15</v>
      </c>
      <c r="B64" s="3">
        <v>2023</v>
      </c>
      <c r="C64" s="2">
        <v>100235403000</v>
      </c>
      <c r="D64" s="2">
        <v>85826661000</v>
      </c>
      <c r="E64" s="2">
        <v>2523695000</v>
      </c>
      <c r="F64" s="1">
        <v>0.14380000000000001</v>
      </c>
      <c r="G64" s="1">
        <v>0.85629999999999995</v>
      </c>
      <c r="H64" s="1">
        <v>2.52E-2</v>
      </c>
      <c r="I64" s="1">
        <v>30.76812806570052</v>
      </c>
      <c r="J64" s="1">
        <v>20.613698630136991</v>
      </c>
    </row>
    <row r="65" spans="1:10" x14ac:dyDescent="0.25">
      <c r="A65" s="1" t="s">
        <v>16</v>
      </c>
      <c r="B65" s="3">
        <v>2023</v>
      </c>
      <c r="C65" s="2">
        <v>200605005000</v>
      </c>
      <c r="D65" s="2">
        <v>129845135000</v>
      </c>
      <c r="E65" s="2">
        <v>8578415000</v>
      </c>
      <c r="F65" s="1">
        <v>0.35270000000000001</v>
      </c>
      <c r="G65" s="1">
        <v>0.64729999999999999</v>
      </c>
      <c r="H65" s="1">
        <v>4.2799999999999998E-2</v>
      </c>
      <c r="I65" s="1">
        <v>30.76812806570052</v>
      </c>
      <c r="J65" s="1">
        <v>20.613698630136991</v>
      </c>
    </row>
    <row r="66" spans="1:10" x14ac:dyDescent="0.25">
      <c r="A66" s="1" t="s">
        <v>17</v>
      </c>
      <c r="B66" s="3">
        <v>2023</v>
      </c>
      <c r="C66" s="2">
        <v>64322287000</v>
      </c>
      <c r="D66" s="2">
        <v>46128408000</v>
      </c>
      <c r="E66" s="2">
        <v>2270000000</v>
      </c>
      <c r="F66" s="1">
        <v>0.2828</v>
      </c>
      <c r="G66" s="1">
        <v>0.71709999999999996</v>
      </c>
      <c r="H66" s="1">
        <v>3.5299999999999998E-2</v>
      </c>
      <c r="I66" s="1">
        <v>30.76812806570052</v>
      </c>
      <c r="J66" s="1">
        <v>20.613698630136991</v>
      </c>
    </row>
    <row r="67" spans="1:10" x14ac:dyDescent="0.25">
      <c r="A67" s="1" t="s">
        <v>18</v>
      </c>
      <c r="B67" s="3">
        <v>2023</v>
      </c>
      <c r="C67" s="2">
        <v>8745424000</v>
      </c>
      <c r="D67" s="2">
        <v>6665173000</v>
      </c>
      <c r="E67" s="2">
        <v>22251000</v>
      </c>
      <c r="F67" s="1">
        <v>0.2379</v>
      </c>
      <c r="G67" s="1">
        <v>0.7621</v>
      </c>
      <c r="H67" s="1">
        <v>2.5000000000000001E-3</v>
      </c>
      <c r="I67" s="1">
        <v>30.76812806570052</v>
      </c>
      <c r="J67" s="1">
        <v>20.613698630136991</v>
      </c>
    </row>
    <row r="68" spans="1:10" x14ac:dyDescent="0.25">
      <c r="A68" s="1" t="s">
        <v>19</v>
      </c>
      <c r="B68" s="3">
        <v>2023</v>
      </c>
      <c r="C68" s="2">
        <v>34586732000</v>
      </c>
      <c r="D68" s="2">
        <v>19777895000</v>
      </c>
      <c r="E68" s="2">
        <v>1915818000</v>
      </c>
      <c r="F68" s="1">
        <v>0.42820000000000003</v>
      </c>
      <c r="G68" s="1">
        <v>0.57179999999999997</v>
      </c>
      <c r="H68" s="1">
        <v>5.5399999999999998E-2</v>
      </c>
      <c r="I68" s="1">
        <v>30.76812806570052</v>
      </c>
      <c r="J68" s="1">
        <v>20.613698630136991</v>
      </c>
    </row>
    <row r="69" spans="1:10" x14ac:dyDescent="0.25">
      <c r="A69" s="1" t="s">
        <v>20</v>
      </c>
      <c r="B69" s="3">
        <v>2023</v>
      </c>
      <c r="C69" s="2">
        <v>19809035759</v>
      </c>
      <c r="D69" s="2">
        <v>16826717108</v>
      </c>
      <c r="E69" s="2">
        <v>571515052</v>
      </c>
      <c r="F69" s="1">
        <v>0.15060000000000001</v>
      </c>
      <c r="G69" s="1">
        <v>0.84940000000000004</v>
      </c>
      <c r="H69" s="1">
        <v>2.8899999999999999E-2</v>
      </c>
      <c r="I69" s="1">
        <v>30.76812806570052</v>
      </c>
      <c r="J69" s="1">
        <v>20.613698630136991</v>
      </c>
    </row>
    <row r="70" spans="1:10" x14ac:dyDescent="0.25">
      <c r="A70" s="1" t="s">
        <v>21</v>
      </c>
      <c r="B70" s="3">
        <v>2023</v>
      </c>
      <c r="C70" s="2">
        <v>89643543663</v>
      </c>
      <c r="D70" s="2">
        <v>71079444949</v>
      </c>
      <c r="E70" s="2">
        <v>886769354</v>
      </c>
      <c r="F70" s="1">
        <v>0.20710000000000001</v>
      </c>
      <c r="G70" s="1">
        <v>0.79290000000000005</v>
      </c>
      <c r="H70" s="1">
        <v>9.9000000000000008E-3</v>
      </c>
      <c r="I70" s="1">
        <v>30.76812806570052</v>
      </c>
      <c r="J70" s="1">
        <v>20.613698630136991</v>
      </c>
    </row>
    <row r="71" spans="1:10" x14ac:dyDescent="0.25">
      <c r="A71" s="1" t="s">
        <v>22</v>
      </c>
      <c r="B71" s="3">
        <v>2023</v>
      </c>
      <c r="C71" s="2">
        <v>4357631431</v>
      </c>
      <c r="D71" s="2">
        <v>3225280381</v>
      </c>
      <c r="E71" s="2">
        <v>98360510</v>
      </c>
      <c r="F71" s="1">
        <v>0.25979999999999998</v>
      </c>
      <c r="G71" s="1">
        <v>0.74</v>
      </c>
      <c r="H71" s="1">
        <v>2.2599999999999999E-2</v>
      </c>
      <c r="I71" s="1">
        <v>30.76812806570052</v>
      </c>
      <c r="J71" s="1">
        <v>20.613698630136991</v>
      </c>
    </row>
    <row r="72" spans="1:10" x14ac:dyDescent="0.25">
      <c r="A72" s="1" t="s">
        <v>23</v>
      </c>
      <c r="B72" s="3">
        <v>2023</v>
      </c>
      <c r="C72" s="2">
        <v>100870351000</v>
      </c>
      <c r="D72" s="2">
        <v>87059117000</v>
      </c>
      <c r="E72" s="2">
        <v>197017000</v>
      </c>
      <c r="F72" s="1">
        <v>0.13689999999999999</v>
      </c>
      <c r="G72" s="1">
        <v>0.86309999999999998</v>
      </c>
      <c r="H72" s="1">
        <v>2E-3</v>
      </c>
      <c r="I72" s="1">
        <v>30.76812806570052</v>
      </c>
      <c r="J72" s="1">
        <v>20.613698630136991</v>
      </c>
    </row>
    <row r="73" spans="1:10" x14ac:dyDescent="0.25">
      <c r="A73" s="1" t="s">
        <v>24</v>
      </c>
      <c r="B73" s="3">
        <v>2023</v>
      </c>
      <c r="C73" s="2">
        <v>5674322000</v>
      </c>
      <c r="D73" s="2">
        <v>4064983000</v>
      </c>
      <c r="E73" s="2">
        <v>145524000</v>
      </c>
      <c r="F73" s="1">
        <v>0.28360000000000002</v>
      </c>
      <c r="G73" s="1">
        <v>0.71640000000000004</v>
      </c>
      <c r="H73" s="1">
        <v>2.5600000000000001E-2</v>
      </c>
      <c r="I73" s="1">
        <v>30.76812806570052</v>
      </c>
      <c r="J73" s="1">
        <v>20.613698630136991</v>
      </c>
    </row>
    <row r="74" spans="1:10" x14ac:dyDescent="0.25">
      <c r="A74" s="1" t="s">
        <v>25</v>
      </c>
      <c r="B74" s="3">
        <v>2023</v>
      </c>
      <c r="C74" s="1">
        <v>3024531000</v>
      </c>
      <c r="D74" s="1">
        <v>1434536000</v>
      </c>
      <c r="E74" s="1">
        <v>299678000</v>
      </c>
      <c r="F74" s="1">
        <v>0.52569999999999995</v>
      </c>
      <c r="G74" s="1">
        <v>0.4743</v>
      </c>
      <c r="H74" s="1">
        <v>9.9099999999999994E-2</v>
      </c>
      <c r="I74" s="1">
        <v>30.76812806570052</v>
      </c>
      <c r="J74" s="1">
        <v>20.613698630136991</v>
      </c>
    </row>
    <row r="75" spans="1:10" x14ac:dyDescent="0.25">
      <c r="A75" s="1" t="s">
        <v>26</v>
      </c>
      <c r="B75" s="3">
        <v>2023</v>
      </c>
      <c r="C75" s="1">
        <v>5686622639</v>
      </c>
      <c r="D75" s="1">
        <v>4326891340</v>
      </c>
      <c r="E75" s="1">
        <v>8981714</v>
      </c>
      <c r="F75" s="1">
        <v>0.23910000000000001</v>
      </c>
      <c r="G75" s="1">
        <v>0.76090000000000002</v>
      </c>
      <c r="H75" s="1">
        <v>1.6000000000000001E-3</v>
      </c>
      <c r="I75" s="1">
        <v>30.76812806570052</v>
      </c>
      <c r="J75" s="1">
        <v>20.613698630136991</v>
      </c>
    </row>
    <row r="76" spans="1:10" x14ac:dyDescent="0.25">
      <c r="A76" s="1" t="s">
        <v>27</v>
      </c>
      <c r="B76" s="3">
        <v>2023</v>
      </c>
      <c r="C76" s="1">
        <v>4899692000</v>
      </c>
      <c r="D76" s="1">
        <v>2047933000</v>
      </c>
      <c r="E76" s="1">
        <v>27441000</v>
      </c>
      <c r="F76" s="1">
        <v>0.58199999999999996</v>
      </c>
      <c r="G76" s="1">
        <v>0.41799999999999998</v>
      </c>
      <c r="H76" s="1">
        <v>5.5999999999999999E-3</v>
      </c>
      <c r="I76" s="1">
        <v>30.76812806570052</v>
      </c>
      <c r="J76" s="1">
        <v>20.613698630136991</v>
      </c>
    </row>
    <row r="77" spans="1:10" x14ac:dyDescent="0.25">
      <c r="A77" s="1" t="s">
        <v>13</v>
      </c>
      <c r="B77" s="3">
        <v>2024</v>
      </c>
      <c r="C77" s="2">
        <v>2642163811</v>
      </c>
      <c r="D77" s="2">
        <v>1852996860</v>
      </c>
      <c r="E77" s="2">
        <v>1902336</v>
      </c>
      <c r="F77" s="1">
        <v>0.29859999999999998</v>
      </c>
      <c r="G77" s="1">
        <v>0.70130000000000003</v>
      </c>
      <c r="H77" s="1">
        <v>6.9999999999999999E-4</v>
      </c>
      <c r="I77" s="1">
        <v>12.63253185304518</v>
      </c>
      <c r="J77" s="1">
        <v>18.961748633879779</v>
      </c>
    </row>
    <row r="78" spans="1:10" x14ac:dyDescent="0.25">
      <c r="A78" s="1" t="s">
        <v>14</v>
      </c>
      <c r="B78" s="3">
        <v>2024</v>
      </c>
      <c r="C78" s="2">
        <v>113230777000</v>
      </c>
      <c r="D78" s="2">
        <v>76338286000</v>
      </c>
      <c r="E78" s="2">
        <v>4209973000</v>
      </c>
      <c r="F78" s="1">
        <v>0.32579999999999998</v>
      </c>
      <c r="G78" s="1">
        <v>0.67420000000000002</v>
      </c>
      <c r="H78" s="1">
        <v>3.7199999999999997E-2</v>
      </c>
      <c r="I78" s="1">
        <v>12.63253185304518</v>
      </c>
      <c r="J78" s="1">
        <v>18.961748633879779</v>
      </c>
    </row>
    <row r="79" spans="1:10" x14ac:dyDescent="0.25">
      <c r="A79" s="1" t="s">
        <v>15</v>
      </c>
      <c r="B79" s="3">
        <v>2024</v>
      </c>
      <c r="C79" s="2">
        <v>107051450000</v>
      </c>
      <c r="D79" s="2">
        <v>90023807000</v>
      </c>
      <c r="E79" s="2">
        <v>2338291000</v>
      </c>
      <c r="F79" s="1">
        <v>0.15909999999999999</v>
      </c>
      <c r="G79" s="1">
        <v>0.84089999999999998</v>
      </c>
      <c r="H79" s="1">
        <v>2.18E-2</v>
      </c>
      <c r="I79" s="1">
        <v>12.63253185304518</v>
      </c>
      <c r="J79" s="1">
        <v>18.961748633879779</v>
      </c>
    </row>
    <row r="80" spans="1:10" x14ac:dyDescent="0.25">
      <c r="A80" s="1" t="s">
        <v>16</v>
      </c>
      <c r="B80" s="3">
        <v>2024</v>
      </c>
      <c r="C80" s="2">
        <v>193205756000</v>
      </c>
      <c r="D80" s="2">
        <v>123681762000</v>
      </c>
      <c r="E80" s="2">
        <v>9866771000</v>
      </c>
      <c r="F80" s="1">
        <v>0.35980000000000001</v>
      </c>
      <c r="G80" s="1">
        <v>0.63980000000000004</v>
      </c>
      <c r="H80" s="1">
        <v>5.11E-2</v>
      </c>
      <c r="I80" s="1">
        <v>12.63253185304518</v>
      </c>
      <c r="J80" s="1">
        <v>18.961748633879779</v>
      </c>
    </row>
    <row r="81" spans="1:10" x14ac:dyDescent="0.25">
      <c r="A81" s="1" t="s">
        <v>17</v>
      </c>
      <c r="B81" s="3">
        <v>2024</v>
      </c>
      <c r="C81" s="2">
        <v>86375106000</v>
      </c>
      <c r="D81" s="2">
        <v>62805113000</v>
      </c>
      <c r="E81" s="2">
        <v>2569760000</v>
      </c>
      <c r="F81" s="1">
        <v>0.27289999999999998</v>
      </c>
      <c r="G81" s="1">
        <v>0.72709999999999997</v>
      </c>
      <c r="H81" s="1">
        <v>2.98E-2</v>
      </c>
      <c r="I81" s="1">
        <v>12.63253185304518</v>
      </c>
      <c r="J81" s="1">
        <v>18.961748633879779</v>
      </c>
    </row>
    <row r="82" spans="1:10" x14ac:dyDescent="0.25">
      <c r="A82" s="1" t="s">
        <v>18</v>
      </c>
      <c r="B82" s="3">
        <v>2024</v>
      </c>
      <c r="C82" s="2">
        <v>8154971000</v>
      </c>
      <c r="D82" s="2">
        <v>6544543000</v>
      </c>
      <c r="E82" s="2">
        <v>7970000</v>
      </c>
      <c r="F82" s="1">
        <v>0.19750000000000001</v>
      </c>
      <c r="G82" s="1">
        <v>0.80249999999999999</v>
      </c>
      <c r="H82" s="1">
        <v>1E-3</v>
      </c>
      <c r="I82" s="1">
        <v>12.63253185304518</v>
      </c>
      <c r="J82" s="1">
        <v>18.961748633879779</v>
      </c>
    </row>
    <row r="83" spans="1:10" x14ac:dyDescent="0.25">
      <c r="A83" s="1" t="s">
        <v>19</v>
      </c>
      <c r="B83" s="3">
        <v>2024</v>
      </c>
      <c r="C83" s="2">
        <v>33712049000</v>
      </c>
      <c r="D83" s="2">
        <v>20732024000</v>
      </c>
      <c r="E83" s="2">
        <v>1204328000</v>
      </c>
      <c r="F83" s="1">
        <v>0.38500000000000001</v>
      </c>
      <c r="G83" s="1">
        <v>0.61499999999999999</v>
      </c>
      <c r="H83" s="1">
        <v>3.5700000000000003E-2</v>
      </c>
      <c r="I83" s="1">
        <v>12.63253185304518</v>
      </c>
      <c r="J83" s="1">
        <v>18.961748633879779</v>
      </c>
    </row>
    <row r="84" spans="1:10" x14ac:dyDescent="0.25">
      <c r="A84" s="1" t="s">
        <v>20</v>
      </c>
      <c r="B84" s="3">
        <v>2024</v>
      </c>
      <c r="C84" s="2">
        <v>23401680285</v>
      </c>
      <c r="D84" s="2">
        <v>19681000800</v>
      </c>
      <c r="E84" s="2">
        <v>811106860</v>
      </c>
      <c r="F84" s="1">
        <v>0.159</v>
      </c>
      <c r="G84" s="1">
        <v>0.84099999999999997</v>
      </c>
      <c r="H84" s="1">
        <v>3.4700000000000002E-2</v>
      </c>
      <c r="I84" s="1">
        <v>12.63253185304518</v>
      </c>
      <c r="J84" s="1">
        <v>18.961748633879779</v>
      </c>
    </row>
    <row r="85" spans="1:10" x14ac:dyDescent="0.25">
      <c r="A85" s="1" t="s">
        <v>21</v>
      </c>
      <c r="B85" s="3">
        <v>2024</v>
      </c>
      <c r="C85" s="2">
        <v>116967540849</v>
      </c>
      <c r="D85" s="2">
        <v>92647488472</v>
      </c>
      <c r="E85" s="2">
        <v>1212221388</v>
      </c>
      <c r="F85" s="1">
        <v>0.2079</v>
      </c>
      <c r="G85" s="1">
        <v>0.79210000000000003</v>
      </c>
      <c r="H85" s="1">
        <v>1.04E-2</v>
      </c>
      <c r="I85" s="1">
        <v>12.63253185304518</v>
      </c>
      <c r="J85" s="1">
        <v>18.961748633879779</v>
      </c>
    </row>
    <row r="86" spans="1:10" x14ac:dyDescent="0.25">
      <c r="A86" s="1" t="s">
        <v>22</v>
      </c>
      <c r="B86" s="3">
        <v>2024</v>
      </c>
      <c r="C86" s="2">
        <v>3867121389</v>
      </c>
      <c r="D86" s="2">
        <v>2996365848</v>
      </c>
      <c r="E86" s="2">
        <v>201148390</v>
      </c>
      <c r="F86" s="1">
        <v>0.22520000000000001</v>
      </c>
      <c r="G86" s="1">
        <v>0.77480000000000004</v>
      </c>
      <c r="H86" s="1">
        <v>5.1999999999999998E-2</v>
      </c>
      <c r="I86" s="1">
        <v>12.63253185304518</v>
      </c>
      <c r="J86" s="1">
        <v>18.961748633879779</v>
      </c>
    </row>
    <row r="87" spans="1:10" x14ac:dyDescent="0.25">
      <c r="A87" s="1" t="s">
        <v>23</v>
      </c>
      <c r="B87" s="3">
        <v>2024</v>
      </c>
      <c r="C87" s="2">
        <v>83002785000</v>
      </c>
      <c r="D87" s="2">
        <v>75754488000</v>
      </c>
      <c r="E87" s="2">
        <v>254460000</v>
      </c>
      <c r="F87" s="1">
        <v>8.7300000000000003E-2</v>
      </c>
      <c r="G87" s="1">
        <v>0.91269999999999996</v>
      </c>
      <c r="H87" s="1">
        <v>3.0999999999999999E-3</v>
      </c>
      <c r="I87" s="1">
        <v>12.63253185304518</v>
      </c>
      <c r="J87" s="1">
        <v>18.961748633879779</v>
      </c>
    </row>
    <row r="88" spans="1:10" x14ac:dyDescent="0.25">
      <c r="A88" s="1" t="s">
        <v>24</v>
      </c>
      <c r="B88" s="3">
        <v>2024</v>
      </c>
      <c r="C88" s="2">
        <v>6364851000</v>
      </c>
      <c r="D88" s="2">
        <v>4603743000</v>
      </c>
      <c r="E88" s="2">
        <v>270055000</v>
      </c>
      <c r="F88" s="1">
        <v>0.2767</v>
      </c>
      <c r="G88" s="1">
        <v>0.72319999999999995</v>
      </c>
      <c r="H88" s="1">
        <v>4.24E-2</v>
      </c>
      <c r="I88" s="1">
        <v>12.63253185304518</v>
      </c>
      <c r="J88" s="1">
        <v>18.961748633879779</v>
      </c>
    </row>
    <row r="89" spans="1:10" x14ac:dyDescent="0.25">
      <c r="A89" s="1" t="s">
        <v>25</v>
      </c>
      <c r="B89" s="3">
        <v>2024</v>
      </c>
      <c r="C89" s="1">
        <v>1502010000</v>
      </c>
      <c r="D89" s="1">
        <v>1008371000</v>
      </c>
      <c r="E89" s="1">
        <v>87350000</v>
      </c>
      <c r="F89" s="1">
        <v>0.32869999999999999</v>
      </c>
      <c r="G89" s="1">
        <v>0.67130000000000001</v>
      </c>
      <c r="H89" s="1">
        <v>5.8200000000000002E-2</v>
      </c>
      <c r="I89" s="1">
        <v>12.63253185304518</v>
      </c>
      <c r="J89" s="1">
        <v>18.961748633879779</v>
      </c>
    </row>
    <row r="90" spans="1:10" x14ac:dyDescent="0.25">
      <c r="A90" s="1" t="s">
        <v>26</v>
      </c>
      <c r="B90" s="3">
        <v>2024</v>
      </c>
      <c r="C90" s="1">
        <v>7009267774</v>
      </c>
      <c r="D90" s="1">
        <v>5585396742</v>
      </c>
      <c r="E90" s="1">
        <v>7300400</v>
      </c>
      <c r="F90" s="1">
        <v>0.2031</v>
      </c>
      <c r="G90" s="1">
        <v>0.79690000000000005</v>
      </c>
      <c r="H90" s="1">
        <v>1E-3</v>
      </c>
      <c r="I90" s="1">
        <v>12.63253185304518</v>
      </c>
      <c r="J90" s="1">
        <v>18.961748633879779</v>
      </c>
    </row>
    <row r="91" spans="1:10" x14ac:dyDescent="0.25">
      <c r="A91" s="1" t="s">
        <v>27</v>
      </c>
      <c r="B91" s="3">
        <v>2024</v>
      </c>
      <c r="C91" s="1">
        <v>5845443000</v>
      </c>
      <c r="D91" s="1">
        <v>3438553000</v>
      </c>
      <c r="E91" s="1">
        <v>48964000</v>
      </c>
      <c r="F91" s="1">
        <v>0.4118</v>
      </c>
      <c r="G91" s="1">
        <v>0.58819999999999995</v>
      </c>
      <c r="H91" s="1">
        <v>8.3999999999999995E-3</v>
      </c>
      <c r="I91" s="1">
        <v>12.63253185304518</v>
      </c>
      <c r="J91" s="1">
        <v>18.961748633879779</v>
      </c>
    </row>
  </sheetData>
  <autoFilter ref="A1:J91" xr:uid="{90049B31-40E8-409F-80EC-922DFFEA81B0}">
    <sortState xmlns:xlrd2="http://schemas.microsoft.com/office/spreadsheetml/2017/richdata2" ref="A2:J91">
      <sortCondition ref="B2:B9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6B06-8236-47F2-BF9C-829DA9921570}">
  <dimension ref="A3:E11"/>
  <sheetViews>
    <sheetView workbookViewId="0">
      <selection activeCell="E16" sqref="E16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3" width="18.28515625" bestFit="1" customWidth="1"/>
    <col min="4" max="4" width="13.7109375" bestFit="1" customWidth="1"/>
    <col min="5" max="5" width="19" bestFit="1" customWidth="1"/>
    <col min="6" max="6" width="6" bestFit="1" customWidth="1"/>
    <col min="7" max="14" width="7" bestFit="1" customWidth="1"/>
    <col min="15" max="15" width="6" bestFit="1" customWidth="1"/>
    <col min="16" max="17" width="7" bestFit="1" customWidth="1"/>
    <col min="18" max="18" width="6" bestFit="1" customWidth="1"/>
    <col min="19" max="33" width="7" bestFit="1" customWidth="1"/>
    <col min="34" max="34" width="6" bestFit="1" customWidth="1"/>
    <col min="35" max="42" width="7" bestFit="1" customWidth="1"/>
    <col min="43" max="43" width="5" bestFit="1" customWidth="1"/>
    <col min="44" max="44" width="7" bestFit="1" customWidth="1"/>
    <col min="45" max="45" width="6" bestFit="1" customWidth="1"/>
    <col min="46" max="50" width="7" bestFit="1" customWidth="1"/>
    <col min="51" max="51" width="6" bestFit="1" customWidth="1"/>
    <col min="52" max="62" width="7" bestFit="1" customWidth="1"/>
    <col min="63" max="63" width="6" bestFit="1" customWidth="1"/>
    <col min="64" max="64" width="7" bestFit="1" customWidth="1"/>
    <col min="65" max="65" width="6" bestFit="1" customWidth="1"/>
    <col min="66" max="67" width="7" bestFit="1" customWidth="1"/>
    <col min="68" max="68" width="6" bestFit="1" customWidth="1"/>
    <col min="69" max="82" width="7" bestFit="1" customWidth="1"/>
    <col min="83" max="83" width="6" bestFit="1" customWidth="1"/>
    <col min="84" max="85" width="7" bestFit="1" customWidth="1"/>
    <col min="86" max="86" width="11.28515625" bestFit="1" customWidth="1"/>
    <col min="87" max="90" width="7" bestFit="1" customWidth="1"/>
    <col min="91" max="91" width="6" bestFit="1" customWidth="1"/>
    <col min="92" max="94" width="7" bestFit="1" customWidth="1"/>
    <col min="95" max="95" width="20.7109375" bestFit="1" customWidth="1"/>
    <col min="96" max="96" width="11.28515625" bestFit="1" customWidth="1"/>
    <col min="97" max="97" width="7.85546875" bestFit="1" customWidth="1"/>
    <col min="98" max="98" width="10.42578125" bestFit="1" customWidth="1"/>
    <col min="99" max="99" width="8.85546875" bestFit="1" customWidth="1"/>
    <col min="100" max="100" width="11.42578125" bestFit="1" customWidth="1"/>
    <col min="101" max="101" width="7" bestFit="1" customWidth="1"/>
    <col min="102" max="102" width="9.42578125" bestFit="1" customWidth="1"/>
    <col min="103" max="103" width="8.85546875" bestFit="1" customWidth="1"/>
    <col min="104" max="104" width="11.42578125" bestFit="1" customWidth="1"/>
    <col min="105" max="105" width="8.85546875" bestFit="1" customWidth="1"/>
    <col min="106" max="106" width="11.42578125" bestFit="1" customWidth="1"/>
    <col min="107" max="107" width="8.85546875" bestFit="1" customWidth="1"/>
    <col min="108" max="108" width="11.42578125" bestFit="1" customWidth="1"/>
    <col min="109" max="109" width="8.85546875" bestFit="1" customWidth="1"/>
    <col min="110" max="110" width="11.42578125" bestFit="1" customWidth="1"/>
    <col min="111" max="111" width="7.85546875" bestFit="1" customWidth="1"/>
    <col min="112" max="112" width="10.42578125" bestFit="1" customWidth="1"/>
    <col min="113" max="113" width="7.85546875" bestFit="1" customWidth="1"/>
    <col min="114" max="114" width="10.42578125" bestFit="1" customWidth="1"/>
    <col min="115" max="115" width="8.85546875" bestFit="1" customWidth="1"/>
    <col min="116" max="116" width="11.42578125" bestFit="1" customWidth="1"/>
    <col min="117" max="117" width="8.85546875" bestFit="1" customWidth="1"/>
    <col min="118" max="118" width="11.42578125" bestFit="1" customWidth="1"/>
    <col min="119" max="119" width="8.85546875" bestFit="1" customWidth="1"/>
    <col min="120" max="120" width="11.42578125" bestFit="1" customWidth="1"/>
    <col min="121" max="121" width="8.85546875" bestFit="1" customWidth="1"/>
    <col min="122" max="122" width="11.42578125" bestFit="1" customWidth="1"/>
    <col min="123" max="123" width="8.85546875" bestFit="1" customWidth="1"/>
    <col min="124" max="124" width="11.42578125" bestFit="1" customWidth="1"/>
    <col min="125" max="125" width="20.7109375" bestFit="1" customWidth="1"/>
    <col min="126" max="126" width="13.85546875" bestFit="1" customWidth="1"/>
    <col min="127" max="127" width="11.42578125" bestFit="1" customWidth="1"/>
    <col min="128" max="128" width="7.85546875" bestFit="1" customWidth="1"/>
    <col min="129" max="129" width="10.42578125" bestFit="1" customWidth="1"/>
    <col min="130" max="130" width="8.85546875" bestFit="1" customWidth="1"/>
    <col min="131" max="131" width="11.42578125" bestFit="1" customWidth="1"/>
    <col min="132" max="132" width="8.85546875" bestFit="1" customWidth="1"/>
    <col min="133" max="133" width="11.42578125" bestFit="1" customWidth="1"/>
    <col min="134" max="134" width="8.85546875" bestFit="1" customWidth="1"/>
    <col min="135" max="135" width="11.42578125" bestFit="1" customWidth="1"/>
    <col min="136" max="136" width="8.85546875" bestFit="1" customWidth="1"/>
    <col min="137" max="137" width="11.42578125" bestFit="1" customWidth="1"/>
    <col min="138" max="138" width="8.85546875" bestFit="1" customWidth="1"/>
    <col min="139" max="139" width="11.42578125" bestFit="1" customWidth="1"/>
    <col min="140" max="140" width="8.85546875" bestFit="1" customWidth="1"/>
    <col min="141" max="141" width="11.42578125" bestFit="1" customWidth="1"/>
    <col min="142" max="142" width="8.85546875" bestFit="1" customWidth="1"/>
    <col min="143" max="143" width="11.42578125" bestFit="1" customWidth="1"/>
    <col min="144" max="144" width="8.85546875" bestFit="1" customWidth="1"/>
    <col min="145" max="145" width="11.42578125" bestFit="1" customWidth="1"/>
    <col min="146" max="146" width="8.85546875" bestFit="1" customWidth="1"/>
    <col min="147" max="147" width="11.42578125" bestFit="1" customWidth="1"/>
    <col min="148" max="148" width="8.85546875" bestFit="1" customWidth="1"/>
    <col min="149" max="149" width="11.42578125" bestFit="1" customWidth="1"/>
    <col min="150" max="150" width="8.85546875" bestFit="1" customWidth="1"/>
    <col min="151" max="151" width="11.42578125" bestFit="1" customWidth="1"/>
    <col min="152" max="152" width="7.85546875" bestFit="1" customWidth="1"/>
    <col min="153" max="153" width="10.42578125" bestFit="1" customWidth="1"/>
    <col min="154" max="154" width="8.85546875" bestFit="1" customWidth="1"/>
    <col min="155" max="155" width="11.42578125" bestFit="1" customWidth="1"/>
    <col min="156" max="156" width="21.85546875" bestFit="1" customWidth="1"/>
    <col min="157" max="157" width="13.85546875" bestFit="1" customWidth="1"/>
    <col min="158" max="158" width="10.42578125" bestFit="1" customWidth="1"/>
    <col min="159" max="159" width="8.85546875" bestFit="1" customWidth="1"/>
    <col min="160" max="160" width="11.42578125" bestFit="1" customWidth="1"/>
    <col min="161" max="161" width="8.85546875" bestFit="1" customWidth="1"/>
    <col min="162" max="162" width="11.42578125" bestFit="1" customWidth="1"/>
    <col min="163" max="163" width="8.85546875" bestFit="1" customWidth="1"/>
    <col min="164" max="164" width="11.42578125" bestFit="1" customWidth="1"/>
    <col min="165" max="165" width="8.85546875" bestFit="1" customWidth="1"/>
    <col min="166" max="166" width="11.42578125" bestFit="1" customWidth="1"/>
    <col min="167" max="167" width="8.85546875" bestFit="1" customWidth="1"/>
    <col min="168" max="168" width="11.42578125" bestFit="1" customWidth="1"/>
    <col min="169" max="169" width="8.85546875" bestFit="1" customWidth="1"/>
    <col min="170" max="170" width="11.42578125" bestFit="1" customWidth="1"/>
    <col min="171" max="171" width="7" bestFit="1" customWidth="1"/>
    <col min="172" max="172" width="9.42578125" bestFit="1" customWidth="1"/>
    <col min="173" max="173" width="8.85546875" bestFit="1" customWidth="1"/>
    <col min="174" max="174" width="11.42578125" bestFit="1" customWidth="1"/>
    <col min="175" max="175" width="8.85546875" bestFit="1" customWidth="1"/>
    <col min="176" max="176" width="11.42578125" bestFit="1" customWidth="1"/>
    <col min="177" max="177" width="8.85546875" bestFit="1" customWidth="1"/>
    <col min="178" max="178" width="11.42578125" bestFit="1" customWidth="1"/>
    <col min="179" max="179" width="8.85546875" bestFit="1" customWidth="1"/>
    <col min="180" max="180" width="11.42578125" bestFit="1" customWidth="1"/>
    <col min="181" max="181" width="8.85546875" bestFit="1" customWidth="1"/>
    <col min="182" max="182" width="11.42578125" bestFit="1" customWidth="1"/>
    <col min="183" max="183" width="8.85546875" bestFit="1" customWidth="1"/>
    <col min="184" max="184" width="11.42578125" bestFit="1" customWidth="1"/>
    <col min="185" max="185" width="8.85546875" bestFit="1" customWidth="1"/>
    <col min="186" max="186" width="11.42578125" bestFit="1" customWidth="1"/>
    <col min="187" max="187" width="20.7109375" bestFit="1" customWidth="1"/>
    <col min="188" max="188" width="11.28515625" bestFit="1" customWidth="1"/>
    <col min="189" max="189" width="13.85546875" bestFit="1" customWidth="1"/>
    <col min="190" max="190" width="21.85546875" bestFit="1" customWidth="1"/>
    <col min="191" max="191" width="10.42578125" bestFit="1" customWidth="1"/>
    <col min="192" max="192" width="13.85546875" bestFit="1" customWidth="1"/>
    <col min="193" max="193" width="21.85546875" bestFit="1" customWidth="1"/>
    <col min="194" max="194" width="11.42578125" bestFit="1" customWidth="1"/>
    <col min="195" max="195" width="13.85546875" bestFit="1" customWidth="1"/>
    <col min="196" max="196" width="21.85546875" bestFit="1" customWidth="1"/>
    <col min="197" max="197" width="11.42578125" bestFit="1" customWidth="1"/>
    <col min="198" max="198" width="13.85546875" bestFit="1" customWidth="1"/>
    <col min="199" max="199" width="21.85546875" bestFit="1" customWidth="1"/>
    <col min="200" max="200" width="11.42578125" bestFit="1" customWidth="1"/>
    <col min="201" max="201" width="13.85546875" bestFit="1" customWidth="1"/>
    <col min="202" max="202" width="21.85546875" bestFit="1" customWidth="1"/>
    <col min="203" max="203" width="11.42578125" bestFit="1" customWidth="1"/>
    <col min="204" max="204" width="13.85546875" bestFit="1" customWidth="1"/>
    <col min="205" max="205" width="21.85546875" bestFit="1" customWidth="1"/>
    <col min="206" max="206" width="11.42578125" bestFit="1" customWidth="1"/>
    <col min="207" max="207" width="13.85546875" bestFit="1" customWidth="1"/>
    <col min="208" max="208" width="21.85546875" bestFit="1" customWidth="1"/>
    <col min="209" max="209" width="11.42578125" bestFit="1" customWidth="1"/>
    <col min="210" max="210" width="13.85546875" bestFit="1" customWidth="1"/>
    <col min="211" max="211" width="21.85546875" bestFit="1" customWidth="1"/>
    <col min="212" max="212" width="11.42578125" bestFit="1" customWidth="1"/>
    <col min="213" max="213" width="13.85546875" bestFit="1" customWidth="1"/>
    <col min="214" max="214" width="21.85546875" bestFit="1" customWidth="1"/>
    <col min="215" max="215" width="11.42578125" bestFit="1" customWidth="1"/>
    <col min="216" max="216" width="13.85546875" bestFit="1" customWidth="1"/>
    <col min="217" max="217" width="21.85546875" bestFit="1" customWidth="1"/>
    <col min="218" max="218" width="11.42578125" bestFit="1" customWidth="1"/>
    <col min="219" max="219" width="13.85546875" bestFit="1" customWidth="1"/>
    <col min="220" max="220" width="21.85546875" bestFit="1" customWidth="1"/>
    <col min="221" max="221" width="11.42578125" bestFit="1" customWidth="1"/>
    <col min="222" max="222" width="13.85546875" bestFit="1" customWidth="1"/>
    <col min="223" max="223" width="21.85546875" bestFit="1" customWidth="1"/>
    <col min="224" max="224" width="11.42578125" bestFit="1" customWidth="1"/>
    <col min="225" max="225" width="13.85546875" bestFit="1" customWidth="1"/>
    <col min="226" max="226" width="21.85546875" bestFit="1" customWidth="1"/>
    <col min="227" max="227" width="10.42578125" bestFit="1" customWidth="1"/>
    <col min="228" max="228" width="13.85546875" bestFit="1" customWidth="1"/>
    <col min="229" max="229" width="21.85546875" bestFit="1" customWidth="1"/>
    <col min="230" max="230" width="11.42578125" bestFit="1" customWidth="1"/>
    <col min="231" max="231" width="21.85546875" bestFit="1" customWidth="1"/>
    <col min="232" max="232" width="13.85546875" bestFit="1" customWidth="1"/>
    <col min="233" max="233" width="21.85546875" bestFit="1" customWidth="1"/>
    <col min="234" max="234" width="10.42578125" bestFit="1" customWidth="1"/>
    <col min="235" max="235" width="13.85546875" bestFit="1" customWidth="1"/>
    <col min="236" max="236" width="21.85546875" bestFit="1" customWidth="1"/>
    <col min="237" max="237" width="11.42578125" bestFit="1" customWidth="1"/>
    <col min="238" max="238" width="13.85546875" bestFit="1" customWidth="1"/>
    <col min="239" max="239" width="21.85546875" bestFit="1" customWidth="1"/>
    <col min="240" max="240" width="11.42578125" bestFit="1" customWidth="1"/>
    <col min="241" max="241" width="13.85546875" bestFit="1" customWidth="1"/>
    <col min="242" max="242" width="21.85546875" bestFit="1" customWidth="1"/>
    <col min="243" max="243" width="11.42578125" bestFit="1" customWidth="1"/>
    <col min="244" max="244" width="13.85546875" bestFit="1" customWidth="1"/>
    <col min="245" max="245" width="21.85546875" bestFit="1" customWidth="1"/>
    <col min="246" max="246" width="11.42578125" bestFit="1" customWidth="1"/>
    <col min="247" max="247" width="13.85546875" bestFit="1" customWidth="1"/>
    <col min="248" max="248" width="21.85546875" bestFit="1" customWidth="1"/>
    <col min="249" max="249" width="11.42578125" bestFit="1" customWidth="1"/>
    <col min="250" max="250" width="13.85546875" bestFit="1" customWidth="1"/>
    <col min="251" max="251" width="21.85546875" bestFit="1" customWidth="1"/>
    <col min="252" max="252" width="11.42578125" bestFit="1" customWidth="1"/>
    <col min="253" max="253" width="13.85546875" bestFit="1" customWidth="1"/>
    <col min="254" max="254" width="21.85546875" bestFit="1" customWidth="1"/>
    <col min="255" max="255" width="9.42578125" bestFit="1" customWidth="1"/>
    <col min="256" max="256" width="13.85546875" bestFit="1" customWidth="1"/>
    <col min="257" max="257" width="21.85546875" bestFit="1" customWidth="1"/>
    <col min="258" max="258" width="11.42578125" bestFit="1" customWidth="1"/>
    <col min="259" max="259" width="13.85546875" bestFit="1" customWidth="1"/>
    <col min="260" max="260" width="21.85546875" bestFit="1" customWidth="1"/>
    <col min="261" max="261" width="11.42578125" bestFit="1" customWidth="1"/>
    <col min="262" max="262" width="13.85546875" bestFit="1" customWidth="1"/>
    <col min="263" max="263" width="21.85546875" bestFit="1" customWidth="1"/>
    <col min="264" max="264" width="11.42578125" bestFit="1" customWidth="1"/>
    <col min="265" max="265" width="13.85546875" bestFit="1" customWidth="1"/>
    <col min="266" max="266" width="21.85546875" bestFit="1" customWidth="1"/>
    <col min="267" max="267" width="11.42578125" bestFit="1" customWidth="1"/>
    <col min="268" max="268" width="13.85546875" bestFit="1" customWidth="1"/>
    <col min="269" max="269" width="21.85546875" bestFit="1" customWidth="1"/>
    <col min="270" max="270" width="11.42578125" bestFit="1" customWidth="1"/>
    <col min="271" max="271" width="13.85546875" bestFit="1" customWidth="1"/>
    <col min="272" max="272" width="21.85546875" bestFit="1" customWidth="1"/>
    <col min="273" max="273" width="11.42578125" bestFit="1" customWidth="1"/>
    <col min="274" max="274" width="13.85546875" bestFit="1" customWidth="1"/>
    <col min="275" max="275" width="21.85546875" bestFit="1" customWidth="1"/>
    <col min="276" max="276" width="11.42578125" bestFit="1" customWidth="1"/>
    <col min="277" max="277" width="20.7109375" bestFit="1" customWidth="1"/>
    <col min="278" max="278" width="11.28515625" bestFit="1" customWidth="1"/>
  </cols>
  <sheetData>
    <row r="3" spans="1:5" x14ac:dyDescent="0.25">
      <c r="A3" s="5" t="s">
        <v>28</v>
      </c>
      <c r="B3" t="s">
        <v>31</v>
      </c>
      <c r="C3" t="s">
        <v>32</v>
      </c>
      <c r="D3" t="s">
        <v>30</v>
      </c>
      <c r="E3" t="s">
        <v>33</v>
      </c>
    </row>
    <row r="4" spans="1:5" x14ac:dyDescent="0.25">
      <c r="A4" s="6">
        <v>2019</v>
      </c>
      <c r="B4">
        <v>0.73759333333333321</v>
      </c>
      <c r="C4">
        <v>4.6126666666666663E-2</v>
      </c>
      <c r="D4">
        <v>10.578361800455479</v>
      </c>
      <c r="E4">
        <v>11.990410958904109</v>
      </c>
    </row>
    <row r="5" spans="1:5" x14ac:dyDescent="0.25">
      <c r="A5" s="6">
        <v>2020</v>
      </c>
      <c r="B5">
        <v>0.75712666666666661</v>
      </c>
      <c r="C5">
        <v>3.239333333333333E-2</v>
      </c>
      <c r="D5">
        <v>9.7399931389815446</v>
      </c>
      <c r="E5">
        <v>8.9364754098360653</v>
      </c>
    </row>
    <row r="6" spans="1:5" x14ac:dyDescent="0.25">
      <c r="A6" s="6">
        <v>2021</v>
      </c>
      <c r="B6">
        <v>0.74527933333333318</v>
      </c>
      <c r="C6">
        <v>3.0413333333333337E-2</v>
      </c>
      <c r="D6">
        <v>9.4962105612494678</v>
      </c>
      <c r="E6">
        <v>7.2808219178082219</v>
      </c>
    </row>
    <row r="7" spans="1:5" x14ac:dyDescent="0.25">
      <c r="A7" s="6">
        <v>2022</v>
      </c>
      <c r="B7">
        <v>0.7610933333333334</v>
      </c>
      <c r="C7">
        <v>6.4319999999999988E-2</v>
      </c>
      <c r="D7">
        <v>19.873859964665545</v>
      </c>
      <c r="E7">
        <v>11.991095890410964</v>
      </c>
    </row>
    <row r="8" spans="1:5" x14ac:dyDescent="0.25">
      <c r="A8" s="6">
        <v>2023</v>
      </c>
      <c r="B8">
        <v>0.70979999999999988</v>
      </c>
      <c r="C8">
        <v>2.6986666666666662E-2</v>
      </c>
      <c r="D8">
        <v>30.76812806570052</v>
      </c>
      <c r="E8">
        <v>20.613698630136987</v>
      </c>
    </row>
    <row r="9" spans="1:5" x14ac:dyDescent="0.25">
      <c r="A9" s="6">
        <v>2024</v>
      </c>
      <c r="B9">
        <v>0.74006666666666687</v>
      </c>
      <c r="C9">
        <v>2.5833333333333333E-2</v>
      </c>
      <c r="D9">
        <v>12.63253185304518</v>
      </c>
      <c r="E9">
        <v>18.961748633879779</v>
      </c>
    </row>
    <row r="10" spans="1:5" x14ac:dyDescent="0.25">
      <c r="A10" s="6" t="s">
        <v>29</v>
      </c>
      <c r="B10">
        <v>0.74182655555555577</v>
      </c>
      <c r="C10">
        <v>3.767888888888888E-2</v>
      </c>
      <c r="D10">
        <v>15.514847564016312</v>
      </c>
      <c r="E10">
        <v>13.295708573496036</v>
      </c>
    </row>
    <row r="11" spans="1:5" x14ac:dyDescent="0.25">
      <c r="B11">
        <f>GETPIVOTDATA("Average of cogs_ratio",$A$3)*100</f>
        <v>74.18265555555557</v>
      </c>
      <c r="C11">
        <f>GETPIVOTDATA("Average of as_ratio",$A$3)*100</f>
        <v>3.767888888888888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48EC-F468-4032-8D64-7E9AF1D4145E}">
  <dimension ref="A1:E8"/>
  <sheetViews>
    <sheetView zoomScale="85" zoomScaleNormal="85" workbookViewId="0">
      <selection activeCell="F22" sqref="F22"/>
    </sheetView>
  </sheetViews>
  <sheetFormatPr defaultRowHeight="15" x14ac:dyDescent="0.25"/>
  <cols>
    <col min="1" max="1" width="11.140625" bestFit="1" customWidth="1"/>
    <col min="2" max="2" width="20.28515625" bestFit="1" customWidth="1"/>
    <col min="3" max="3" width="18.28515625" bestFit="1" customWidth="1"/>
    <col min="4" max="4" width="13.7109375" bestFit="1" customWidth="1"/>
    <col min="5" max="5" width="19" bestFit="1" customWidth="1"/>
  </cols>
  <sheetData>
    <row r="1" spans="1:5" x14ac:dyDescent="0.25">
      <c r="B1" t="s">
        <v>31</v>
      </c>
      <c r="C1" t="s">
        <v>32</v>
      </c>
      <c r="D1" t="s">
        <v>30</v>
      </c>
      <c r="E1" t="s">
        <v>33</v>
      </c>
    </row>
    <row r="2" spans="1:5" x14ac:dyDescent="0.25">
      <c r="A2">
        <v>2019</v>
      </c>
      <c r="B2">
        <v>0.73759333333333321</v>
      </c>
      <c r="C2">
        <v>4.6126666666666663E-2</v>
      </c>
      <c r="D2">
        <v>10.578361800455479</v>
      </c>
      <c r="E2">
        <v>11.990410958904109</v>
      </c>
    </row>
    <row r="3" spans="1:5" x14ac:dyDescent="0.25">
      <c r="A3">
        <v>2020</v>
      </c>
      <c r="B3">
        <v>0.75712666666666661</v>
      </c>
      <c r="C3">
        <v>3.239333333333333E-2</v>
      </c>
      <c r="D3">
        <v>9.7399931389815446</v>
      </c>
      <c r="E3">
        <v>8.9364754098360653</v>
      </c>
    </row>
    <row r="4" spans="1:5" x14ac:dyDescent="0.25">
      <c r="A4">
        <v>2021</v>
      </c>
      <c r="B4">
        <v>0.74527933333333318</v>
      </c>
      <c r="C4">
        <v>3.0413333333333337E-2</v>
      </c>
      <c r="D4">
        <v>9.4962105612494678</v>
      </c>
      <c r="E4">
        <v>7.2808219178082219</v>
      </c>
    </row>
    <row r="5" spans="1:5" x14ac:dyDescent="0.25">
      <c r="A5">
        <v>2022</v>
      </c>
      <c r="B5">
        <v>0.7610933333333334</v>
      </c>
      <c r="C5">
        <v>6.4319999999999988E-2</v>
      </c>
      <c r="D5">
        <v>19.873859964665545</v>
      </c>
      <c r="E5">
        <v>11.991095890410964</v>
      </c>
    </row>
    <row r="6" spans="1:5" x14ac:dyDescent="0.25">
      <c r="A6">
        <v>2023</v>
      </c>
      <c r="B6">
        <v>0.70979999999999988</v>
      </c>
      <c r="C6">
        <v>2.6986666666666662E-2</v>
      </c>
      <c r="D6">
        <v>30.76812806570052</v>
      </c>
      <c r="E6">
        <v>20.613698630136987</v>
      </c>
    </row>
    <row r="7" spans="1:5" x14ac:dyDescent="0.25">
      <c r="A7">
        <v>2024</v>
      </c>
      <c r="B7">
        <v>0.74006666666666687</v>
      </c>
      <c r="C7">
        <v>2.5833333333333333E-2</v>
      </c>
      <c r="D7">
        <v>12.63253185304518</v>
      </c>
      <c r="E7">
        <v>18.961748633879779</v>
      </c>
    </row>
    <row r="8" spans="1:5" x14ac:dyDescent="0.25">
      <c r="A8" t="s">
        <v>29</v>
      </c>
      <c r="B8">
        <v>0.74182655555555577</v>
      </c>
      <c r="C8">
        <v>3.767888888888888E-2</v>
      </c>
      <c r="D8">
        <v>15.514847564016312</v>
      </c>
      <c r="E8">
        <v>13.295708573496036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SpSS</vt:lpstr>
      <vt:lpstr>Year_by</vt:lpstr>
      <vt:lpstr>Pivot_for_Averages</vt:lpstr>
      <vt:lpstr>Visual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dcterms:created xsi:type="dcterms:W3CDTF">2026-04-17T03:44:27Z</dcterms:created>
  <dcterms:modified xsi:type="dcterms:W3CDTF">2026-05-24T05:02:56Z</dcterms:modified>
</cp:coreProperties>
</file>